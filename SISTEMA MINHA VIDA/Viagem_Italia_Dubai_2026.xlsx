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be62333809c2217/Área de Trabalho/SISTEMA MINHA VIDA/"/>
    </mc:Choice>
  </mc:AlternateContent>
  <xr:revisionPtr revIDLastSave="5" documentId="11_CE064B756E79ACF34848776C1A36D47FB9A68D8D" xr6:coauthVersionLast="47" xr6:coauthVersionMax="47" xr10:uidLastSave="{0ABD864E-3902-46D5-950E-566B4197ADDB}"/>
  <bookViews>
    <workbookView xWindow="-110" yWindow="-110" windowWidth="19420" windowHeight="10300" tabRatio="500" xr2:uid="{00000000-000D-0000-FFFF-FFFF00000000}"/>
  </bookViews>
  <sheets>
    <sheet name="RESUMO" sheetId="1" r:id="rId1"/>
    <sheet name="Dolomitas" sheetId="2" r:id="rId2"/>
    <sheet name="Roma-Toscana" sheetId="3" r:id="rId3"/>
    <sheet name="Croatia" sheetId="4" r:id="rId4"/>
    <sheet name="Portugal" sheetId="5" r:id="rId5"/>
    <sheet name="Polonia-Cracov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8" i="6" l="1"/>
  <c r="F48" i="6"/>
  <c r="F47" i="6"/>
  <c r="E47" i="6"/>
  <c r="D47" i="6"/>
  <c r="H47" i="6" s="1"/>
  <c r="F46" i="6"/>
  <c r="E46" i="6"/>
  <c r="D46" i="6"/>
  <c r="H46" i="6" s="1"/>
  <c r="F45" i="6"/>
  <c r="E45" i="6"/>
  <c r="D45" i="6"/>
  <c r="H45" i="6" s="1"/>
  <c r="F44" i="6"/>
  <c r="E44" i="6"/>
  <c r="D44" i="6"/>
  <c r="H44" i="6" s="1"/>
  <c r="F43" i="6"/>
  <c r="E43" i="6"/>
  <c r="D43" i="6"/>
  <c r="H43" i="6" s="1"/>
  <c r="F42" i="6"/>
  <c r="H42" i="6" s="1"/>
  <c r="E42" i="6"/>
  <c r="D42" i="6"/>
  <c r="F41" i="6"/>
  <c r="E41" i="6"/>
  <c r="D41" i="6"/>
  <c r="H41" i="6" s="1"/>
  <c r="F40" i="6"/>
  <c r="E40" i="6"/>
  <c r="D40" i="6"/>
  <c r="H40" i="6" s="1"/>
  <c r="F39" i="6"/>
  <c r="H39" i="6" s="1"/>
  <c r="E39" i="6"/>
  <c r="D39" i="6"/>
  <c r="F38" i="6"/>
  <c r="E38" i="6"/>
  <c r="D38" i="6"/>
  <c r="H38" i="6" s="1"/>
  <c r="F37" i="6"/>
  <c r="E37" i="6"/>
  <c r="D37" i="6"/>
  <c r="H37" i="6" s="1"/>
  <c r="H36" i="6"/>
  <c r="F36" i="6"/>
  <c r="E36" i="6"/>
  <c r="D36" i="6"/>
  <c r="F35" i="6"/>
  <c r="E35" i="6"/>
  <c r="D35" i="6"/>
  <c r="H35" i="6" s="1"/>
  <c r="F34" i="6"/>
  <c r="E34" i="6"/>
  <c r="D34" i="6"/>
  <c r="H34" i="6" s="1"/>
  <c r="H33" i="6"/>
  <c r="F33" i="6"/>
  <c r="E33" i="6"/>
  <c r="D33" i="6"/>
  <c r="F32" i="6"/>
  <c r="E32" i="6"/>
  <c r="D32" i="6"/>
  <c r="H32" i="6" s="1"/>
  <c r="F31" i="6"/>
  <c r="E31" i="6"/>
  <c r="D31" i="6"/>
  <c r="H31" i="6" s="1"/>
  <c r="F30" i="6"/>
  <c r="F49" i="6" s="1"/>
  <c r="E30" i="6"/>
  <c r="D30" i="6"/>
  <c r="F29" i="6"/>
  <c r="E29" i="6"/>
  <c r="D29" i="6"/>
  <c r="H29" i="6" s="1"/>
  <c r="G28" i="6"/>
  <c r="G49" i="6" s="1"/>
  <c r="F28" i="6"/>
  <c r="E28" i="6"/>
  <c r="E49" i="6" s="1"/>
  <c r="D28" i="6"/>
  <c r="H27" i="6"/>
  <c r="F27" i="6"/>
  <c r="E27" i="6"/>
  <c r="D27" i="6"/>
  <c r="F26" i="6"/>
  <c r="E26" i="6"/>
  <c r="D26" i="6"/>
  <c r="H26" i="6" s="1"/>
  <c r="F25" i="6"/>
  <c r="E25" i="6"/>
  <c r="D25" i="6"/>
  <c r="H25" i="6" s="1"/>
  <c r="H24" i="6"/>
  <c r="F24" i="6"/>
  <c r="E24" i="6"/>
  <c r="D24" i="6"/>
  <c r="F23" i="6"/>
  <c r="E23" i="6"/>
  <c r="D23" i="6"/>
  <c r="H23" i="6" s="1"/>
  <c r="F22" i="6"/>
  <c r="E22" i="6"/>
  <c r="D22" i="6"/>
  <c r="H22" i="6" s="1"/>
  <c r="H21" i="6"/>
  <c r="F21" i="6"/>
  <c r="E21" i="6"/>
  <c r="D21" i="6"/>
  <c r="F20" i="6"/>
  <c r="E20" i="6"/>
  <c r="D20" i="6"/>
  <c r="H20" i="6" s="1"/>
  <c r="F19" i="6"/>
  <c r="E19" i="6"/>
  <c r="D19" i="6"/>
  <c r="H19" i="6" s="1"/>
  <c r="H18" i="6"/>
  <c r="F18" i="6"/>
  <c r="E18" i="6"/>
  <c r="D18" i="6"/>
  <c r="F17" i="6"/>
  <c r="E17" i="6"/>
  <c r="D17" i="6"/>
  <c r="H17" i="6" s="1"/>
  <c r="F16" i="6"/>
  <c r="E16" i="6"/>
  <c r="D16" i="6"/>
  <c r="H16" i="6" s="1"/>
  <c r="H15" i="6"/>
  <c r="F15" i="6"/>
  <c r="E15" i="6"/>
  <c r="D15" i="6"/>
  <c r="F14" i="6"/>
  <c r="E14" i="6"/>
  <c r="E48" i="6" s="1"/>
  <c r="D14" i="6"/>
  <c r="G48" i="5"/>
  <c r="F47" i="5"/>
  <c r="H47" i="5" s="1"/>
  <c r="E47" i="5"/>
  <c r="D47" i="5"/>
  <c r="F46" i="5"/>
  <c r="E46" i="5"/>
  <c r="D46" i="5"/>
  <c r="H46" i="5" s="1"/>
  <c r="F45" i="5"/>
  <c r="E45" i="5"/>
  <c r="D45" i="5"/>
  <c r="H45" i="5" s="1"/>
  <c r="F44" i="5"/>
  <c r="H44" i="5" s="1"/>
  <c r="E44" i="5"/>
  <c r="D44" i="5"/>
  <c r="F43" i="5"/>
  <c r="E43" i="5"/>
  <c r="D43" i="5"/>
  <c r="H43" i="5" s="1"/>
  <c r="F42" i="5"/>
  <c r="E42" i="5"/>
  <c r="D42" i="5"/>
  <c r="H42" i="5" s="1"/>
  <c r="H41" i="5"/>
  <c r="F41" i="5"/>
  <c r="E41" i="5"/>
  <c r="D41" i="5"/>
  <c r="F40" i="5"/>
  <c r="E40" i="5"/>
  <c r="D40" i="5"/>
  <c r="H40" i="5" s="1"/>
  <c r="F39" i="5"/>
  <c r="E39" i="5"/>
  <c r="D39" i="5"/>
  <c r="H39" i="5" s="1"/>
  <c r="H38" i="5"/>
  <c r="F38" i="5"/>
  <c r="E38" i="5"/>
  <c r="D38" i="5"/>
  <c r="F37" i="5"/>
  <c r="E37" i="5"/>
  <c r="D37" i="5"/>
  <c r="H37" i="5" s="1"/>
  <c r="F36" i="5"/>
  <c r="E36" i="5"/>
  <c r="D36" i="5"/>
  <c r="H36" i="5" s="1"/>
  <c r="F35" i="5"/>
  <c r="H35" i="5" s="1"/>
  <c r="E35" i="5"/>
  <c r="D35" i="5"/>
  <c r="F34" i="5"/>
  <c r="E34" i="5"/>
  <c r="D34" i="5"/>
  <c r="H34" i="5" s="1"/>
  <c r="F33" i="5"/>
  <c r="E33" i="5"/>
  <c r="D33" i="5"/>
  <c r="H33" i="5" s="1"/>
  <c r="F32" i="5"/>
  <c r="H32" i="5" s="1"/>
  <c r="E32" i="5"/>
  <c r="D32" i="5"/>
  <c r="F31" i="5"/>
  <c r="E31" i="5"/>
  <c r="D31" i="5"/>
  <c r="H31" i="5" s="1"/>
  <c r="F30" i="5"/>
  <c r="E30" i="5"/>
  <c r="D30" i="5"/>
  <c r="H30" i="5" s="1"/>
  <c r="F29" i="5"/>
  <c r="H29" i="5" s="1"/>
  <c r="E29" i="5"/>
  <c r="D29" i="5"/>
  <c r="G28" i="5"/>
  <c r="G49" i="5" s="1"/>
  <c r="G50" i="5" s="1"/>
  <c r="F28" i="5"/>
  <c r="E28" i="5"/>
  <c r="E49" i="5" s="1"/>
  <c r="D28" i="5"/>
  <c r="H28" i="5" s="1"/>
  <c r="F27" i="5"/>
  <c r="E27" i="5"/>
  <c r="D27" i="5"/>
  <c r="H27" i="5" s="1"/>
  <c r="H26" i="5"/>
  <c r="F26" i="5"/>
  <c r="E26" i="5"/>
  <c r="D26" i="5"/>
  <c r="F25" i="5"/>
  <c r="E25" i="5"/>
  <c r="D25" i="5"/>
  <c r="H25" i="5" s="1"/>
  <c r="F24" i="5"/>
  <c r="E24" i="5"/>
  <c r="D24" i="5"/>
  <c r="H24" i="5" s="1"/>
  <c r="H23" i="5"/>
  <c r="F23" i="5"/>
  <c r="E23" i="5"/>
  <c r="D23" i="5"/>
  <c r="F22" i="5"/>
  <c r="E22" i="5"/>
  <c r="D22" i="5"/>
  <c r="H22" i="5" s="1"/>
  <c r="F21" i="5"/>
  <c r="E21" i="5"/>
  <c r="D21" i="5"/>
  <c r="H21" i="5" s="1"/>
  <c r="H20" i="5"/>
  <c r="F20" i="5"/>
  <c r="E20" i="5"/>
  <c r="D20" i="5"/>
  <c r="F19" i="5"/>
  <c r="E19" i="5"/>
  <c r="D19" i="5"/>
  <c r="H19" i="5" s="1"/>
  <c r="F18" i="5"/>
  <c r="E18" i="5"/>
  <c r="D18" i="5"/>
  <c r="H18" i="5" s="1"/>
  <c r="H17" i="5"/>
  <c r="F17" i="5"/>
  <c r="E17" i="5"/>
  <c r="D17" i="5"/>
  <c r="F16" i="5"/>
  <c r="E16" i="5"/>
  <c r="D16" i="5"/>
  <c r="H16" i="5" s="1"/>
  <c r="F15" i="5"/>
  <c r="F48" i="5" s="1"/>
  <c r="E15" i="5"/>
  <c r="E48" i="5" s="1"/>
  <c r="E50" i="5" s="1"/>
  <c r="D15" i="5"/>
  <c r="H14" i="5"/>
  <c r="F14" i="5"/>
  <c r="E14" i="5"/>
  <c r="D14" i="5"/>
  <c r="G49" i="4"/>
  <c r="G50" i="4" s="1"/>
  <c r="E49" i="4"/>
  <c r="G48" i="4"/>
  <c r="F47" i="4"/>
  <c r="E47" i="4"/>
  <c r="D47" i="4"/>
  <c r="H47" i="4" s="1"/>
  <c r="F46" i="4"/>
  <c r="H46" i="4" s="1"/>
  <c r="E46" i="4"/>
  <c r="D46" i="4"/>
  <c r="F45" i="4"/>
  <c r="E45" i="4"/>
  <c r="D45" i="4"/>
  <c r="H45" i="4" s="1"/>
  <c r="F44" i="4"/>
  <c r="E44" i="4"/>
  <c r="D44" i="4"/>
  <c r="H44" i="4" s="1"/>
  <c r="F43" i="4"/>
  <c r="H43" i="4" s="1"/>
  <c r="E43" i="4"/>
  <c r="D43" i="4"/>
  <c r="F42" i="4"/>
  <c r="E42" i="4"/>
  <c r="D42" i="4"/>
  <c r="H42" i="4" s="1"/>
  <c r="F41" i="4"/>
  <c r="E41" i="4"/>
  <c r="D41" i="4"/>
  <c r="H41" i="4" s="1"/>
  <c r="F40" i="4"/>
  <c r="F49" i="4" s="1"/>
  <c r="E40" i="4"/>
  <c r="D40" i="4"/>
  <c r="F39" i="4"/>
  <c r="E39" i="4"/>
  <c r="D39" i="4"/>
  <c r="H39" i="4" s="1"/>
  <c r="F38" i="4"/>
  <c r="E38" i="4"/>
  <c r="D38" i="4"/>
  <c r="H38" i="4" s="1"/>
  <c r="H37" i="4"/>
  <c r="F37" i="4"/>
  <c r="E37" i="4"/>
  <c r="D37" i="4"/>
  <c r="F36" i="4"/>
  <c r="E36" i="4"/>
  <c r="D36" i="4"/>
  <c r="H36" i="4" s="1"/>
  <c r="F35" i="4"/>
  <c r="E35" i="4"/>
  <c r="D35" i="4"/>
  <c r="H35" i="4" s="1"/>
  <c r="H34" i="4"/>
  <c r="F34" i="4"/>
  <c r="E34" i="4"/>
  <c r="D34" i="4"/>
  <c r="F33" i="4"/>
  <c r="E33" i="4"/>
  <c r="D33" i="4"/>
  <c r="H33" i="4" s="1"/>
  <c r="F32" i="4"/>
  <c r="E32" i="4"/>
  <c r="D32" i="4"/>
  <c r="H32" i="4" s="1"/>
  <c r="F31" i="4"/>
  <c r="H31" i="4" s="1"/>
  <c r="E31" i="4"/>
  <c r="D31" i="4"/>
  <c r="F30" i="4"/>
  <c r="E30" i="4"/>
  <c r="D30" i="4"/>
  <c r="H30" i="4" s="1"/>
  <c r="F29" i="4"/>
  <c r="E29" i="4"/>
  <c r="D29" i="4"/>
  <c r="H29" i="4" s="1"/>
  <c r="F28" i="4"/>
  <c r="H28" i="4" s="1"/>
  <c r="E28" i="4"/>
  <c r="D28" i="4"/>
  <c r="F27" i="4"/>
  <c r="E27" i="4"/>
  <c r="D27" i="4"/>
  <c r="H27" i="4" s="1"/>
  <c r="F26" i="4"/>
  <c r="E26" i="4"/>
  <c r="D26" i="4"/>
  <c r="H26" i="4" s="1"/>
  <c r="F25" i="4"/>
  <c r="H25" i="4" s="1"/>
  <c r="E25" i="4"/>
  <c r="D25" i="4"/>
  <c r="F24" i="4"/>
  <c r="E24" i="4"/>
  <c r="D24" i="4"/>
  <c r="H24" i="4" s="1"/>
  <c r="F23" i="4"/>
  <c r="E23" i="4"/>
  <c r="D23" i="4"/>
  <c r="H23" i="4" s="1"/>
  <c r="F22" i="4"/>
  <c r="H22" i="4" s="1"/>
  <c r="E22" i="4"/>
  <c r="D22" i="4"/>
  <c r="F21" i="4"/>
  <c r="E21" i="4"/>
  <c r="D21" i="4"/>
  <c r="H21" i="4" s="1"/>
  <c r="F20" i="4"/>
  <c r="E20" i="4"/>
  <c r="D20" i="4"/>
  <c r="H20" i="4" s="1"/>
  <c r="H19" i="4"/>
  <c r="F19" i="4"/>
  <c r="E19" i="4"/>
  <c r="D19" i="4"/>
  <c r="F18" i="4"/>
  <c r="E18" i="4"/>
  <c r="D18" i="4"/>
  <c r="H18" i="4" s="1"/>
  <c r="F17" i="4"/>
  <c r="E17" i="4"/>
  <c r="D17" i="4"/>
  <c r="H17" i="4" s="1"/>
  <c r="H16" i="4"/>
  <c r="F16" i="4"/>
  <c r="E16" i="4"/>
  <c r="D16" i="4"/>
  <c r="F15" i="4"/>
  <c r="E15" i="4"/>
  <c r="D15" i="4"/>
  <c r="H15" i="4" s="1"/>
  <c r="F14" i="4"/>
  <c r="F48" i="4" s="1"/>
  <c r="E14" i="4"/>
  <c r="E48" i="4" s="1"/>
  <c r="D14" i="4"/>
  <c r="G50" i="3"/>
  <c r="G49" i="3"/>
  <c r="G48" i="3"/>
  <c r="F47" i="3"/>
  <c r="E47" i="3"/>
  <c r="D47" i="3"/>
  <c r="H47" i="3" s="1"/>
  <c r="F46" i="3"/>
  <c r="E46" i="3"/>
  <c r="D46" i="3"/>
  <c r="H46" i="3" s="1"/>
  <c r="F45" i="3"/>
  <c r="E45" i="3"/>
  <c r="H45" i="3" s="1"/>
  <c r="D45" i="3"/>
  <c r="F44" i="3"/>
  <c r="E44" i="3"/>
  <c r="D44" i="3"/>
  <c r="H44" i="3" s="1"/>
  <c r="F43" i="3"/>
  <c r="E43" i="3"/>
  <c r="D43" i="3"/>
  <c r="H43" i="3" s="1"/>
  <c r="F42" i="3"/>
  <c r="E42" i="3"/>
  <c r="H42" i="3" s="1"/>
  <c r="D42" i="3"/>
  <c r="F41" i="3"/>
  <c r="E41" i="3"/>
  <c r="D41" i="3"/>
  <c r="H41" i="3" s="1"/>
  <c r="F40" i="3"/>
  <c r="E40" i="3"/>
  <c r="D40" i="3"/>
  <c r="H40" i="3" s="1"/>
  <c r="F39" i="3"/>
  <c r="H39" i="3" s="1"/>
  <c r="E39" i="3"/>
  <c r="D39" i="3"/>
  <c r="F38" i="3"/>
  <c r="E38" i="3"/>
  <c r="D38" i="3"/>
  <c r="H38" i="3" s="1"/>
  <c r="F37" i="3"/>
  <c r="E37" i="3"/>
  <c r="D37" i="3"/>
  <c r="H37" i="3" s="1"/>
  <c r="F36" i="3"/>
  <c r="E36" i="3"/>
  <c r="H36" i="3" s="1"/>
  <c r="D36" i="3"/>
  <c r="F35" i="3"/>
  <c r="E35" i="3"/>
  <c r="D35" i="3"/>
  <c r="H35" i="3" s="1"/>
  <c r="F34" i="3"/>
  <c r="E34" i="3"/>
  <c r="D34" i="3"/>
  <c r="H34" i="3" s="1"/>
  <c r="F33" i="3"/>
  <c r="E33" i="3"/>
  <c r="H33" i="3" s="1"/>
  <c r="D33" i="3"/>
  <c r="F32" i="3"/>
  <c r="E32" i="3"/>
  <c r="D32" i="3"/>
  <c r="H32" i="3" s="1"/>
  <c r="F31" i="3"/>
  <c r="E31" i="3"/>
  <c r="D31" i="3"/>
  <c r="H31" i="3" s="1"/>
  <c r="H30" i="3"/>
  <c r="F30" i="3"/>
  <c r="E30" i="3"/>
  <c r="D30" i="3"/>
  <c r="F29" i="3"/>
  <c r="E29" i="3"/>
  <c r="D29" i="3"/>
  <c r="H29" i="3" s="1"/>
  <c r="F28" i="3"/>
  <c r="F49" i="3" s="1"/>
  <c r="E28" i="3"/>
  <c r="D28" i="3"/>
  <c r="D49" i="3" s="1"/>
  <c r="F27" i="3"/>
  <c r="E27" i="3"/>
  <c r="H27" i="3" s="1"/>
  <c r="D27" i="3"/>
  <c r="F26" i="3"/>
  <c r="E26" i="3"/>
  <c r="D26" i="3"/>
  <c r="H26" i="3" s="1"/>
  <c r="F25" i="3"/>
  <c r="E25" i="3"/>
  <c r="D25" i="3"/>
  <c r="H25" i="3" s="1"/>
  <c r="F24" i="3"/>
  <c r="H24" i="3" s="1"/>
  <c r="E24" i="3"/>
  <c r="D24" i="3"/>
  <c r="F23" i="3"/>
  <c r="E23" i="3"/>
  <c r="D23" i="3"/>
  <c r="H23" i="3" s="1"/>
  <c r="F22" i="3"/>
  <c r="E22" i="3"/>
  <c r="D22" i="3"/>
  <c r="H22" i="3" s="1"/>
  <c r="F21" i="3"/>
  <c r="H21" i="3" s="1"/>
  <c r="E21" i="3"/>
  <c r="D21" i="3"/>
  <c r="F20" i="3"/>
  <c r="E20" i="3"/>
  <c r="D20" i="3"/>
  <c r="H20" i="3" s="1"/>
  <c r="F19" i="3"/>
  <c r="E19" i="3"/>
  <c r="D19" i="3"/>
  <c r="H19" i="3" s="1"/>
  <c r="F18" i="3"/>
  <c r="F48" i="3" s="1"/>
  <c r="F50" i="3" s="1"/>
  <c r="E18" i="3"/>
  <c r="H18" i="3" s="1"/>
  <c r="D18" i="3"/>
  <c r="F17" i="3"/>
  <c r="E17" i="3"/>
  <c r="D17" i="3"/>
  <c r="H17" i="3" s="1"/>
  <c r="F16" i="3"/>
  <c r="E16" i="3"/>
  <c r="D16" i="3"/>
  <c r="H16" i="3" s="1"/>
  <c r="F15" i="3"/>
  <c r="E15" i="3"/>
  <c r="H15" i="3" s="1"/>
  <c r="D15" i="3"/>
  <c r="F14" i="3"/>
  <c r="E14" i="3"/>
  <c r="D14" i="3"/>
  <c r="D48" i="3" s="1"/>
  <c r="G49" i="2"/>
  <c r="G50" i="2" s="1"/>
  <c r="G48" i="2"/>
  <c r="F47" i="2"/>
  <c r="E47" i="2"/>
  <c r="D47" i="2"/>
  <c r="F46" i="2"/>
  <c r="E46" i="2"/>
  <c r="D46" i="2"/>
  <c r="H46" i="2" s="1"/>
  <c r="F45" i="2"/>
  <c r="E45" i="2"/>
  <c r="D45" i="2"/>
  <c r="H45" i="2" s="1"/>
  <c r="F44" i="2"/>
  <c r="E44" i="2"/>
  <c r="D44" i="2"/>
  <c r="H44" i="2" s="1"/>
  <c r="F43" i="2"/>
  <c r="E43" i="2"/>
  <c r="D43" i="2"/>
  <c r="H43" i="2" s="1"/>
  <c r="F42" i="2"/>
  <c r="E42" i="2"/>
  <c r="D42" i="2"/>
  <c r="H42" i="2" s="1"/>
  <c r="F41" i="2"/>
  <c r="E41" i="2"/>
  <c r="D41" i="2"/>
  <c r="F40" i="2"/>
  <c r="E40" i="2"/>
  <c r="D40" i="2"/>
  <c r="H40" i="2" s="1"/>
  <c r="F39" i="2"/>
  <c r="E39" i="2"/>
  <c r="D39" i="2"/>
  <c r="H39" i="2" s="1"/>
  <c r="F38" i="2"/>
  <c r="E38" i="2"/>
  <c r="D38" i="2"/>
  <c r="H38" i="2" s="1"/>
  <c r="F37" i="2"/>
  <c r="E37" i="2"/>
  <c r="D37" i="2"/>
  <c r="H37" i="2" s="1"/>
  <c r="F36" i="2"/>
  <c r="E36" i="2"/>
  <c r="D36" i="2"/>
  <c r="H36" i="2" s="1"/>
  <c r="F35" i="2"/>
  <c r="E35" i="2"/>
  <c r="D35" i="2"/>
  <c r="F34" i="2"/>
  <c r="E34" i="2"/>
  <c r="D34" i="2"/>
  <c r="H34" i="2" s="1"/>
  <c r="F33" i="2"/>
  <c r="E33" i="2"/>
  <c r="D33" i="2"/>
  <c r="H33" i="2" s="1"/>
  <c r="F32" i="2"/>
  <c r="E32" i="2"/>
  <c r="D32" i="2"/>
  <c r="H32" i="2" s="1"/>
  <c r="F31" i="2"/>
  <c r="E31" i="2"/>
  <c r="D31" i="2"/>
  <c r="H31" i="2" s="1"/>
  <c r="F30" i="2"/>
  <c r="E30" i="2"/>
  <c r="D30" i="2"/>
  <c r="H30" i="2" s="1"/>
  <c r="F29" i="2"/>
  <c r="E29" i="2"/>
  <c r="D29" i="2"/>
  <c r="F28" i="2"/>
  <c r="E28" i="2"/>
  <c r="D28" i="2"/>
  <c r="H28" i="2" s="1"/>
  <c r="F27" i="2"/>
  <c r="E27" i="2"/>
  <c r="D27" i="2"/>
  <c r="H27" i="2" s="1"/>
  <c r="F26" i="2"/>
  <c r="E26" i="2"/>
  <c r="D26" i="2"/>
  <c r="H26" i="2" s="1"/>
  <c r="F25" i="2"/>
  <c r="E25" i="2"/>
  <c r="D25" i="2"/>
  <c r="H25" i="2" s="1"/>
  <c r="F24" i="2"/>
  <c r="E24" i="2"/>
  <c r="D24" i="2"/>
  <c r="H24" i="2" s="1"/>
  <c r="F23" i="2"/>
  <c r="E23" i="2"/>
  <c r="D23" i="2"/>
  <c r="F22" i="2"/>
  <c r="E22" i="2"/>
  <c r="D22" i="2"/>
  <c r="H22" i="2" s="1"/>
  <c r="F21" i="2"/>
  <c r="E21" i="2"/>
  <c r="D21" i="2"/>
  <c r="H21" i="2" s="1"/>
  <c r="F20" i="2"/>
  <c r="E20" i="2"/>
  <c r="D20" i="2"/>
  <c r="F19" i="2"/>
  <c r="E19" i="2"/>
  <c r="D19" i="2"/>
  <c r="H19" i="2" s="1"/>
  <c r="F18" i="2"/>
  <c r="E18" i="2"/>
  <c r="D18" i="2"/>
  <c r="H18" i="2" s="1"/>
  <c r="F17" i="2"/>
  <c r="E17" i="2"/>
  <c r="D17" i="2"/>
  <c r="F16" i="2"/>
  <c r="E16" i="2"/>
  <c r="D16" i="2"/>
  <c r="H16" i="2" s="1"/>
  <c r="F15" i="2"/>
  <c r="E15" i="2"/>
  <c r="D15" i="2"/>
  <c r="H15" i="2" s="1"/>
  <c r="F14" i="2"/>
  <c r="E14" i="2"/>
  <c r="D14" i="2"/>
  <c r="H15" i="1"/>
  <c r="H14" i="1"/>
  <c r="H13" i="1"/>
  <c r="H12" i="1"/>
  <c r="H11" i="1"/>
  <c r="H49" i="2" l="1"/>
  <c r="H14" i="2"/>
  <c r="D48" i="2"/>
  <c r="E48" i="2"/>
  <c r="E50" i="2" s="1"/>
  <c r="H30" i="6"/>
  <c r="H40" i="4"/>
  <c r="H49" i="4" s="1"/>
  <c r="H23" i="2"/>
  <c r="H35" i="2"/>
  <c r="H47" i="2"/>
  <c r="E48" i="3"/>
  <c r="E50" i="3" s="1"/>
  <c r="H28" i="6"/>
  <c r="H49" i="6" s="1"/>
  <c r="D49" i="6"/>
  <c r="D48" i="6"/>
  <c r="F48" i="2"/>
  <c r="H49" i="5"/>
  <c r="E50" i="6"/>
  <c r="H20" i="2"/>
  <c r="D49" i="4"/>
  <c r="F49" i="2"/>
  <c r="H17" i="2"/>
  <c r="H29" i="2"/>
  <c r="H41" i="2"/>
  <c r="H14" i="4"/>
  <c r="H48" i="4" s="1"/>
  <c r="D48" i="4"/>
  <c r="F50" i="6"/>
  <c r="F50" i="4"/>
  <c r="E49" i="2"/>
  <c r="F49" i="5"/>
  <c r="F50" i="5" s="1"/>
  <c r="D50" i="3"/>
  <c r="E49" i="3"/>
  <c r="E50" i="4"/>
  <c r="H15" i="5"/>
  <c r="H48" i="5" s="1"/>
  <c r="H50" i="5" s="1"/>
  <c r="D48" i="5"/>
  <c r="D50" i="5" s="1"/>
  <c r="G50" i="6"/>
  <c r="H28" i="3"/>
  <c r="H49" i="3" s="1"/>
  <c r="D49" i="5"/>
  <c r="H14" i="6"/>
  <c r="H48" i="6" s="1"/>
  <c r="D49" i="2"/>
  <c r="H14" i="3"/>
  <c r="H48" i="3" s="1"/>
  <c r="H50" i="3" s="1"/>
  <c r="F50" i="2" l="1"/>
  <c r="H48" i="2"/>
  <c r="H50" i="2" s="1"/>
  <c r="H50" i="4"/>
  <c r="H50" i="6"/>
  <c r="D50" i="2"/>
  <c r="D50" i="4"/>
  <c r="D50" i="6"/>
</calcChain>
</file>

<file path=xl/sharedStrings.xml><?xml version="1.0" encoding="utf-8"?>
<sst xmlns="http://schemas.openxmlformats.org/spreadsheetml/2006/main" count="478" uniqueCount="73">
  <si>
    <t>Comparativo de Viagem  |  Italia -&gt; Dubai  |  Jun-Jul 2026</t>
  </si>
  <si>
    <t>Celso e Selma  |  Euros  |  Celulas azuis = premissas editaveis  |  Pretas = formulas</t>
  </si>
  <si>
    <t>PREMISSAS LEGNANO (comuns a todos os cenarios)</t>
  </si>
  <si>
    <t>Dias Legnano</t>
  </si>
  <si>
    <t>Estadia/noite</t>
  </si>
  <si>
    <t>Carro/dia</t>
  </si>
  <si>
    <t>Passeios/dia</t>
  </si>
  <si>
    <t>Cenario</t>
  </si>
  <si>
    <t>Legnano (14d)</t>
  </si>
  <si>
    <t>Voo</t>
  </si>
  <si>
    <t>Estadia Gap</t>
  </si>
  <si>
    <t>Carro Gap</t>
  </si>
  <si>
    <t>Passeios Gap</t>
  </si>
  <si>
    <t>Total Gap</t>
  </si>
  <si>
    <t>TOTAL GERAL</t>
  </si>
  <si>
    <t>Dolomitas</t>
  </si>
  <si>
    <t>Roma-Toscana</t>
  </si>
  <si>
    <t>Croatia</t>
  </si>
  <si>
    <t>Portugal</t>
  </si>
  <si>
    <t>Polonia-Cracovia</t>
  </si>
  <si>
    <t>Nota: voo para Dubai nao incluido. Passeios = estimativa media diaria</t>
  </si>
  <si>
    <t>Cenario: Dolomitas  |  Drive Legnano-Bolzano 3h</t>
  </si>
  <si>
    <t>Azul = premissas editaveis | Preto = formulas | Coluna G (Outros) = lancamentos extras por dia</t>
  </si>
  <si>
    <t>PREMISSAS</t>
  </si>
  <si>
    <t>Estadia Legnano/noite</t>
  </si>
  <si>
    <t>Carro Legnano/dia</t>
  </si>
  <si>
    <t>Passeios Legnano/dia</t>
  </si>
  <si>
    <t>Estadia Dolomitas/noite</t>
  </si>
  <si>
    <t>Carro Dolomitas/dia</t>
  </si>
  <si>
    <t>Passeios Dolomitas/dia</t>
  </si>
  <si>
    <t>Voo casal ida</t>
  </si>
  <si>
    <t>Data</t>
  </si>
  <si>
    <t>Dia</t>
  </si>
  <si>
    <t>Local</t>
  </si>
  <si>
    <t>Estadia</t>
  </si>
  <si>
    <t>Carro</t>
  </si>
  <si>
    <t>Passeios</t>
  </si>
  <si>
    <t>Outros</t>
  </si>
  <si>
    <t>TOTAL DIA</t>
  </si>
  <si>
    <t>Notas</t>
  </si>
  <si>
    <t>Ter</t>
  </si>
  <si>
    <t>Legnano (Italia)</t>
  </si>
  <si>
    <t>Qua</t>
  </si>
  <si>
    <t>Qui</t>
  </si>
  <si>
    <t>Sex</t>
  </si>
  <si>
    <t>Sab</t>
  </si>
  <si>
    <t>Dom</t>
  </si>
  <si>
    <t>Seg</t>
  </si>
  <si>
    <t>Subtotal Legnano (14 dias)</t>
  </si>
  <si>
    <t>Subtotal Dolomitas (20 dias)</t>
  </si>
  <si>
    <t>Voo Dubai nao incluido (reservado) | Outros (col G) = lancamentos livres por dia | Altere premissas na secao azul acima</t>
  </si>
  <si>
    <t>Cenario: Roma-Toscana  |  Trem ou drive ~5h</t>
  </si>
  <si>
    <t>Estadia Roma-Toscana/noite</t>
  </si>
  <si>
    <t>Carro Roma-Toscana/dia</t>
  </si>
  <si>
    <t>Passeios Roma-Toscana/dia</t>
  </si>
  <si>
    <t>Subtotal Roma-Toscana (20 dias)</t>
  </si>
  <si>
    <t>Cenario: Croatia  |  Drive via Eslovenia ~7h sem voo</t>
  </si>
  <si>
    <t>Estadia Croatia/noite</t>
  </si>
  <si>
    <t>Carro Croatia/dia</t>
  </si>
  <si>
    <t>Passeios Croatia/dia</t>
  </si>
  <si>
    <t>Subtotal Croatia (20 dias)</t>
  </si>
  <si>
    <t>Cenario: Portugal  |  Voo Milano-Lisboa ~150 por pessoa</t>
  </si>
  <si>
    <t>Estadia Portugal/noite</t>
  </si>
  <si>
    <t>Carro Portugal/dia</t>
  </si>
  <si>
    <t>Passeios Portugal/dia</t>
  </si>
  <si>
    <t>Voo incluido: Voo Milano-Lisboa ~150 por pessoa</t>
  </si>
  <si>
    <t>Subtotal Portugal (20 dias)</t>
  </si>
  <si>
    <t>Cenario: Polonia-Cracovia  |  Voo Milano-Krakow ~120 por pessoa</t>
  </si>
  <si>
    <t>Estadia Polonia-Cracovia/noite</t>
  </si>
  <si>
    <t>Carro Polonia-Cracovia/dia</t>
  </si>
  <si>
    <t>Passeios Polonia-Cracovia/dia</t>
  </si>
  <si>
    <t>Voo incluido: Voo Milano-Krakow ~120 por pessoa</t>
  </si>
  <si>
    <t>Subtotal Polonia-Cracovia (20 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</si>
</sst>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;[Red]\-#,##0&quot; €&quot;;\-"/>
  </numFmts>
  <fonts count="10" x14ac:knownFonts="1">
    <font>
      <sz val="11"/>
      <color theme="1"/>
      <name val="Calibri"/>
      <family val="2"/>
      <charset val="1"/>
    </font>
    <font>
      <b/>
      <sz val="13"/>
      <color rgb="FF1A4168"/>
      <name val="Arial"/>
      <charset val="1"/>
    </font>
    <font>
      <i/>
      <sz val="8"/>
      <color rgb="FF595959"/>
      <name val="Arial"/>
      <charset val="1"/>
    </font>
    <font>
      <b/>
      <sz val="9"/>
      <color rgb="FF1A4168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2"/>
      <color rgb="FF1A4168"/>
      <name val="Arial"/>
      <charset val="1"/>
    </font>
    <font>
      <b/>
      <sz val="10"/>
      <color rgb="FF1A416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D6E4F0"/>
        <bgColor rgb="FFDCE6F1"/>
      </patternFill>
    </fill>
    <fill>
      <patternFill patternType="solid">
        <fgColor rgb="FFDCE6F1"/>
        <bgColor rgb="FFD6E4F0"/>
      </patternFill>
    </fill>
    <fill>
      <patternFill patternType="solid">
        <fgColor rgb="FF1A4168"/>
        <bgColor rgb="FF333399"/>
      </patternFill>
    </fill>
    <fill>
      <patternFill patternType="solid">
        <fgColor rgb="FFE8F4FD"/>
        <bgColor rgb="FFF0F6FF"/>
      </patternFill>
    </fill>
    <fill>
      <patternFill patternType="solid">
        <fgColor rgb="FFEDF7EE"/>
        <bgColor rgb="FFF0F6FF"/>
      </patternFill>
    </fill>
    <fill>
      <patternFill patternType="solid">
        <fgColor rgb="FFFEF3E2"/>
        <bgColor rgb="FFFCF0F0"/>
      </patternFill>
    </fill>
    <fill>
      <patternFill patternType="solid">
        <fgColor rgb="FFF3EDF9"/>
        <bgColor rgb="FFFCF0F0"/>
      </patternFill>
    </fill>
    <fill>
      <patternFill patternType="solid">
        <fgColor rgb="FFFCF0F0"/>
        <bgColor rgb="FFFEF3E2"/>
      </patternFill>
    </fill>
    <fill>
      <patternFill patternType="solid">
        <fgColor rgb="FFF0F6FF"/>
        <bgColor rgb="FFE8F4FD"/>
      </patternFill>
    </fill>
    <fill>
      <patternFill patternType="solid">
        <fgColor rgb="FFFFFFFF"/>
        <bgColor rgb="FFFFFBF0"/>
      </patternFill>
    </fill>
    <fill>
      <patternFill patternType="solid">
        <fgColor rgb="FFFFFBF0"/>
        <bgColor rgb="FFFFFFFF"/>
      </patternFill>
    </fill>
    <fill>
      <patternFill patternType="solid">
        <fgColor rgb="FFFFF2CC"/>
        <bgColor rgb="FFFEF3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9" fillId="2" borderId="1" xfId="0" applyFont="1" applyFill="1" applyBorder="1"/>
    <xf numFmtId="0" fontId="7" fillId="13" borderId="1" xfId="0" applyFont="1" applyFill="1" applyBorder="1"/>
    <xf numFmtId="0" fontId="7" fillId="2" borderId="1" xfId="0" applyFont="1" applyFill="1" applyBorder="1"/>
    <xf numFmtId="0" fontId="8" fillId="0" borderId="0" xfId="0" applyFont="1" applyAlignment="1">
      <alignment horizontal="left" vertical="center"/>
    </xf>
    <xf numFmtId="0" fontId="3" fillId="2" borderId="0" xfId="0" applyFont="1" applyFill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/>
    <xf numFmtId="164" fontId="5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164" fontId="4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/>
    <xf numFmtId="164" fontId="4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/>
    <xf numFmtId="164" fontId="4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/>
    <xf numFmtId="164" fontId="4" fillId="8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/>
    <xf numFmtId="164" fontId="4" fillId="9" borderId="1" xfId="0" applyNumberFormat="1" applyFont="1" applyFill="1" applyBorder="1" applyAlignment="1">
      <alignment horizontal="right" vertical="center"/>
    </xf>
    <xf numFmtId="14" fontId="4" fillId="10" borderId="1" xfId="0" applyNumberFormat="1" applyFont="1" applyFill="1" applyBorder="1"/>
    <xf numFmtId="0" fontId="4" fillId="10" borderId="1" xfId="0" applyFont="1" applyFill="1" applyBorder="1"/>
    <xf numFmtId="164" fontId="4" fillId="10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14" fontId="4" fillId="11" borderId="1" xfId="0" applyNumberFormat="1" applyFont="1" applyFill="1" applyBorder="1"/>
    <xf numFmtId="0" fontId="4" fillId="11" borderId="1" xfId="0" applyFont="1" applyFill="1" applyBorder="1"/>
    <xf numFmtId="164" fontId="4" fillId="11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0" fontId="0" fillId="11" borderId="1" xfId="0" applyFill="1" applyBorder="1"/>
    <xf numFmtId="14" fontId="4" fillId="12" borderId="1" xfId="0" applyNumberFormat="1" applyFont="1" applyFill="1" applyBorder="1"/>
    <xf numFmtId="0" fontId="4" fillId="12" borderId="1" xfId="0" applyFont="1" applyFill="1" applyBorder="1"/>
    <xf numFmtId="164" fontId="4" fillId="12" borderId="1" xfId="0" applyNumberFormat="1" applyFont="1" applyFill="1" applyBorder="1" applyAlignment="1">
      <alignment horizontal="right" vertical="center"/>
    </xf>
    <xf numFmtId="164" fontId="5" fillId="12" borderId="1" xfId="0" applyNumberFormat="1" applyFont="1" applyFill="1" applyBorder="1" applyAlignment="1">
      <alignment horizontal="right" vertical="center"/>
    </xf>
    <xf numFmtId="0" fontId="0" fillId="12" borderId="1" xfId="0" applyFill="1" applyBorder="1"/>
    <xf numFmtId="164" fontId="4" fillId="2" borderId="1" xfId="0" applyNumberFormat="1" applyFont="1" applyFill="1" applyBorder="1" applyAlignment="1">
      <alignment horizontal="right" vertical="center"/>
    </xf>
    <xf numFmtId="164" fontId="4" fillId="13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BF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7EE"/>
      <rgbColor rgb="FFDCE6F1"/>
      <rgbColor rgb="FFFEF3E2"/>
      <rgbColor rgb="FFF3EDF9"/>
      <rgbColor rgb="FFF0F6FF"/>
      <rgbColor rgb="FFCC99FF"/>
      <rgbColor rgb="FFFCF0F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416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Normal="100" workbookViewId="0">
      <selection activeCell="C15" sqref="C15"/>
    </sheetView>
  </sheetViews>
  <sheetFormatPr defaultColWidth="8.6328125" defaultRowHeight="14.5" x14ac:dyDescent="0.35"/>
  <cols>
    <col min="1" max="1" width="24" customWidth="1"/>
    <col min="2" max="2" width="14" customWidth="1"/>
    <col min="3" max="3" width="9" customWidth="1"/>
    <col min="4" max="4" width="13" customWidth="1"/>
    <col min="5" max="5" width="11" customWidth="1"/>
    <col min="6" max="6" width="13" customWidth="1"/>
    <col min="7" max="7" width="12" customWidth="1"/>
    <col min="8" max="8" width="14" customWidth="1"/>
  </cols>
  <sheetData>
    <row r="1" spans="1:8" ht="25.5" customHeight="1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ht="12.75" customHeight="1" x14ac:dyDescent="0.35">
      <c r="A2" s="6" t="s">
        <v>1</v>
      </c>
      <c r="B2" s="6"/>
      <c r="C2" s="6"/>
      <c r="D2" s="6"/>
      <c r="E2" s="6"/>
      <c r="F2" s="6"/>
      <c r="G2" s="6"/>
      <c r="H2" s="6"/>
    </row>
    <row r="3" spans="1:8" ht="6" customHeight="1" x14ac:dyDescent="0.35"/>
    <row r="4" spans="1:8" ht="15.75" customHeight="1" x14ac:dyDescent="0.35">
      <c r="A4" s="5" t="s">
        <v>2</v>
      </c>
      <c r="B4" s="5"/>
      <c r="C4" s="5"/>
      <c r="D4" s="5"/>
      <c r="E4" s="5"/>
      <c r="F4" s="5"/>
      <c r="G4" s="5"/>
      <c r="H4" s="5"/>
    </row>
    <row r="5" spans="1:8" ht="13.5" customHeight="1" x14ac:dyDescent="0.35">
      <c r="A5" s="8" t="s">
        <v>3</v>
      </c>
      <c r="B5" s="9">
        <v>14</v>
      </c>
    </row>
    <row r="6" spans="1:8" ht="13.5" customHeight="1" x14ac:dyDescent="0.35">
      <c r="A6" s="8" t="s">
        <v>4</v>
      </c>
      <c r="B6" s="9">
        <v>50</v>
      </c>
    </row>
    <row r="7" spans="1:8" ht="13.5" customHeight="1" x14ac:dyDescent="0.35">
      <c r="A7" s="8" t="s">
        <v>5</v>
      </c>
      <c r="B7" s="9">
        <v>40</v>
      </c>
    </row>
    <row r="8" spans="1:8" ht="13.5" customHeight="1" x14ac:dyDescent="0.35">
      <c r="A8" s="8" t="s">
        <v>6</v>
      </c>
      <c r="B8" s="9">
        <v>15</v>
      </c>
    </row>
    <row r="10" spans="1:8" ht="24" customHeight="1" x14ac:dyDescent="0.35">
      <c r="A10" s="10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</row>
    <row r="11" spans="1:8" ht="15" customHeight="1" x14ac:dyDescent="0.35">
      <c r="A11" s="11" t="s">
        <v>15</v>
      </c>
      <c r="B11" s="12">
        <v>0</v>
      </c>
      <c r="C11" s="12">
        <v>0</v>
      </c>
      <c r="D11" s="12">
        <v>2000</v>
      </c>
      <c r="E11" s="12">
        <v>800</v>
      </c>
      <c r="F11" s="12">
        <v>800</v>
      </c>
      <c r="G11" s="12">
        <v>3600</v>
      </c>
      <c r="H11" s="12">
        <f>B11+G11</f>
        <v>3600</v>
      </c>
    </row>
    <row r="12" spans="1:8" ht="15" customHeight="1" x14ac:dyDescent="0.35">
      <c r="A12" s="13" t="s">
        <v>16</v>
      </c>
      <c r="B12" s="14">
        <v>0</v>
      </c>
      <c r="C12" s="14">
        <v>0</v>
      </c>
      <c r="D12" s="14">
        <v>1800</v>
      </c>
      <c r="E12" s="14">
        <v>500</v>
      </c>
      <c r="F12" s="14">
        <v>900</v>
      </c>
      <c r="G12" s="14">
        <v>3200</v>
      </c>
      <c r="H12" s="14">
        <f>B12+G12</f>
        <v>3200</v>
      </c>
    </row>
    <row r="13" spans="1:8" ht="15" customHeight="1" x14ac:dyDescent="0.35">
      <c r="A13" s="15" t="s">
        <v>17</v>
      </c>
      <c r="B13" s="16">
        <v>0</v>
      </c>
      <c r="C13" s="16">
        <v>0</v>
      </c>
      <c r="D13" s="16">
        <v>1500</v>
      </c>
      <c r="E13" s="16">
        <v>760</v>
      </c>
      <c r="F13" s="16">
        <v>700</v>
      </c>
      <c r="G13" s="16">
        <v>2960</v>
      </c>
      <c r="H13" s="16">
        <f>B13+G13</f>
        <v>2960</v>
      </c>
    </row>
    <row r="14" spans="1:8" ht="15" customHeight="1" x14ac:dyDescent="0.35">
      <c r="A14" s="17" t="s">
        <v>18</v>
      </c>
      <c r="B14" s="18">
        <v>0</v>
      </c>
      <c r="C14" s="18">
        <v>300</v>
      </c>
      <c r="D14" s="18">
        <v>1760</v>
      </c>
      <c r="E14" s="18">
        <v>640</v>
      </c>
      <c r="F14" s="18">
        <v>760</v>
      </c>
      <c r="G14" s="18">
        <v>3460</v>
      </c>
      <c r="H14" s="18">
        <f>B14+G14</f>
        <v>3460</v>
      </c>
    </row>
    <row r="15" spans="1:8" ht="15" customHeight="1" x14ac:dyDescent="0.35">
      <c r="A15" s="19" t="s">
        <v>19</v>
      </c>
      <c r="B15" s="20">
        <v>0</v>
      </c>
      <c r="C15" s="20">
        <v>240</v>
      </c>
      <c r="D15" s="20">
        <v>1160</v>
      </c>
      <c r="E15" s="20">
        <v>440</v>
      </c>
      <c r="F15" s="20">
        <v>500</v>
      </c>
      <c r="G15" s="20">
        <v>2340</v>
      </c>
      <c r="H15" s="20">
        <f>B15+G15</f>
        <v>2340</v>
      </c>
    </row>
    <row r="16" spans="1:8" x14ac:dyDescent="0.35">
      <c r="A16" s="6" t="s">
        <v>20</v>
      </c>
      <c r="B16" s="6"/>
      <c r="C16" s="6"/>
      <c r="D16" s="6"/>
      <c r="E16" s="6"/>
      <c r="F16" s="6"/>
      <c r="G16" s="6"/>
      <c r="H16" s="6"/>
    </row>
  </sheetData>
  <mergeCells count="4">
    <mergeCell ref="A1:H1"/>
    <mergeCell ref="A2:H2"/>
    <mergeCell ref="A4:H4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Normal="100" workbookViewId="0">
      <pane ySplit="13" topLeftCell="A14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5" customWidth="1"/>
    <col min="3" max="3" width="22" customWidth="1"/>
    <col min="4" max="4" width="11" customWidth="1"/>
    <col min="5" max="5" width="10" customWidth="1"/>
    <col min="6" max="6" width="11" customWidth="1"/>
    <col min="7" max="7" width="10" customWidth="1"/>
    <col min="8" max="8" width="13" customWidth="1"/>
    <col min="9" max="9" width="28" customWidth="1"/>
  </cols>
  <sheetData>
    <row r="1" spans="1:9" ht="24" customHeight="1" x14ac:dyDescent="0.35">
      <c r="A1" s="4" t="s">
        <v>21</v>
      </c>
      <c r="B1" s="4"/>
      <c r="C1" s="4"/>
      <c r="D1" s="4"/>
      <c r="E1" s="4"/>
      <c r="F1" s="4"/>
      <c r="G1" s="4"/>
      <c r="H1" s="4"/>
      <c r="I1" s="4"/>
    </row>
    <row r="2" spans="1:9" ht="12.75" customHeight="1" x14ac:dyDescent="0.35">
      <c r="A2" s="6" t="s">
        <v>22</v>
      </c>
      <c r="B2" s="6"/>
      <c r="C2" s="6"/>
      <c r="D2" s="6"/>
      <c r="E2" s="6"/>
      <c r="F2" s="6"/>
      <c r="G2" s="6"/>
      <c r="H2" s="6"/>
      <c r="I2" s="6"/>
    </row>
    <row r="3" spans="1:9" ht="6" customHeight="1" x14ac:dyDescent="0.35"/>
    <row r="4" spans="1:9" ht="15.75" customHeight="1" x14ac:dyDescent="0.35">
      <c r="A4" s="5" t="s">
        <v>23</v>
      </c>
      <c r="B4" s="5"/>
      <c r="C4" s="5"/>
      <c r="D4" s="5"/>
      <c r="E4" s="5"/>
      <c r="F4" s="5"/>
      <c r="G4" s="5"/>
      <c r="H4" s="5"/>
      <c r="I4" s="5"/>
    </row>
    <row r="5" spans="1:9" ht="13.5" customHeight="1" x14ac:dyDescent="0.35">
      <c r="A5" s="8" t="s">
        <v>24</v>
      </c>
      <c r="B5" s="9">
        <v>50</v>
      </c>
    </row>
    <row r="6" spans="1:9" ht="13.5" customHeight="1" x14ac:dyDescent="0.35">
      <c r="A6" s="8" t="s">
        <v>25</v>
      </c>
      <c r="B6" s="9">
        <v>40</v>
      </c>
    </row>
    <row r="7" spans="1:9" ht="13.5" customHeight="1" x14ac:dyDescent="0.35">
      <c r="A7" s="8" t="s">
        <v>26</v>
      </c>
      <c r="B7" s="9">
        <v>15</v>
      </c>
    </row>
    <row r="8" spans="1:9" ht="13.5" customHeight="1" x14ac:dyDescent="0.35">
      <c r="A8" s="8" t="s">
        <v>27</v>
      </c>
      <c r="B8" s="9">
        <v>100</v>
      </c>
    </row>
    <row r="9" spans="1:9" ht="13.5" customHeight="1" x14ac:dyDescent="0.35">
      <c r="A9" s="8" t="s">
        <v>28</v>
      </c>
      <c r="B9" s="9">
        <v>40</v>
      </c>
    </row>
    <row r="10" spans="1:9" ht="13.5" customHeight="1" x14ac:dyDescent="0.35">
      <c r="A10" s="8" t="s">
        <v>29</v>
      </c>
      <c r="B10" s="9">
        <v>40</v>
      </c>
    </row>
    <row r="11" spans="1:9" ht="13.5" customHeight="1" x14ac:dyDescent="0.35">
      <c r="A11" s="8" t="s">
        <v>30</v>
      </c>
      <c r="B11" s="9">
        <v>0</v>
      </c>
    </row>
    <row r="13" spans="1:9" ht="19.5" customHeight="1" x14ac:dyDescent="0.35">
      <c r="A13" s="10" t="s">
        <v>31</v>
      </c>
      <c r="B13" s="10" t="s">
        <v>32</v>
      </c>
      <c r="C13" s="10" t="s">
        <v>33</v>
      </c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</row>
    <row r="14" spans="1:9" ht="13.5" customHeight="1" x14ac:dyDescent="0.35">
      <c r="A14" s="21">
        <v>46182</v>
      </c>
      <c r="B14" s="22" t="s">
        <v>40</v>
      </c>
      <c r="C14" s="22" t="s">
        <v>41</v>
      </c>
      <c r="D14" s="23">
        <f>B5</f>
        <v>50</v>
      </c>
      <c r="E14" s="23">
        <f>B6</f>
        <v>40</v>
      </c>
      <c r="F14" s="23">
        <f>B7</f>
        <v>15</v>
      </c>
      <c r="G14" s="24">
        <v>0</v>
      </c>
      <c r="H14" s="23">
        <f t="shared" ref="H14:H47" si="0">D14+E14+F14+G14</f>
        <v>105</v>
      </c>
      <c r="I14" s="25"/>
    </row>
    <row r="15" spans="1:9" ht="13.5" customHeight="1" x14ac:dyDescent="0.35">
      <c r="A15" s="26">
        <v>46183</v>
      </c>
      <c r="B15" s="27" t="s">
        <v>42</v>
      </c>
      <c r="C15" s="27" t="s">
        <v>41</v>
      </c>
      <c r="D15" s="28">
        <f>B5</f>
        <v>50</v>
      </c>
      <c r="E15" s="28">
        <f>B6</f>
        <v>40</v>
      </c>
      <c r="F15" s="28">
        <f>B7</f>
        <v>15</v>
      </c>
      <c r="G15" s="29">
        <v>0</v>
      </c>
      <c r="H15" s="28">
        <f t="shared" si="0"/>
        <v>105</v>
      </c>
      <c r="I15" s="30"/>
    </row>
    <row r="16" spans="1:9" ht="13.5" customHeight="1" x14ac:dyDescent="0.35">
      <c r="A16" s="21">
        <v>46184</v>
      </c>
      <c r="B16" s="22" t="s">
        <v>43</v>
      </c>
      <c r="C16" s="22" t="s">
        <v>41</v>
      </c>
      <c r="D16" s="23">
        <f>B5</f>
        <v>50</v>
      </c>
      <c r="E16" s="23">
        <f>B6</f>
        <v>40</v>
      </c>
      <c r="F16" s="23">
        <f>B7</f>
        <v>15</v>
      </c>
      <c r="G16" s="24">
        <v>0</v>
      </c>
      <c r="H16" s="23">
        <f t="shared" si="0"/>
        <v>105</v>
      </c>
      <c r="I16" s="25"/>
    </row>
    <row r="17" spans="1:9" ht="13.5" customHeight="1" x14ac:dyDescent="0.35">
      <c r="A17" s="26">
        <v>46185</v>
      </c>
      <c r="B17" s="27" t="s">
        <v>44</v>
      </c>
      <c r="C17" s="27" t="s">
        <v>41</v>
      </c>
      <c r="D17" s="28">
        <f>B5</f>
        <v>50</v>
      </c>
      <c r="E17" s="28">
        <f>B6</f>
        <v>40</v>
      </c>
      <c r="F17" s="28">
        <f>B7</f>
        <v>15</v>
      </c>
      <c r="G17" s="29">
        <v>0</v>
      </c>
      <c r="H17" s="28">
        <f t="shared" si="0"/>
        <v>105</v>
      </c>
      <c r="I17" s="30"/>
    </row>
    <row r="18" spans="1:9" ht="13.5" customHeight="1" x14ac:dyDescent="0.35">
      <c r="A18" s="21">
        <v>46186</v>
      </c>
      <c r="B18" s="22" t="s">
        <v>45</v>
      </c>
      <c r="C18" s="22" t="s">
        <v>41</v>
      </c>
      <c r="D18" s="23">
        <f>B5</f>
        <v>50</v>
      </c>
      <c r="E18" s="23">
        <f>B6</f>
        <v>40</v>
      </c>
      <c r="F18" s="23">
        <f>B7</f>
        <v>15</v>
      </c>
      <c r="G18" s="24">
        <v>0</v>
      </c>
      <c r="H18" s="23">
        <f t="shared" si="0"/>
        <v>105</v>
      </c>
      <c r="I18" s="25"/>
    </row>
    <row r="19" spans="1:9" ht="13.5" customHeight="1" x14ac:dyDescent="0.35">
      <c r="A19" s="26">
        <v>46187</v>
      </c>
      <c r="B19" s="27" t="s">
        <v>46</v>
      </c>
      <c r="C19" s="27" t="s">
        <v>41</v>
      </c>
      <c r="D19" s="28">
        <f>B5</f>
        <v>50</v>
      </c>
      <c r="E19" s="28">
        <f>B6</f>
        <v>40</v>
      </c>
      <c r="F19" s="28">
        <f>B7</f>
        <v>15</v>
      </c>
      <c r="G19" s="29">
        <v>0</v>
      </c>
      <c r="H19" s="28">
        <f t="shared" si="0"/>
        <v>105</v>
      </c>
      <c r="I19" s="30"/>
    </row>
    <row r="20" spans="1:9" ht="13.5" customHeight="1" x14ac:dyDescent="0.35">
      <c r="A20" s="21">
        <v>46188</v>
      </c>
      <c r="B20" s="22" t="s">
        <v>47</v>
      </c>
      <c r="C20" s="22" t="s">
        <v>41</v>
      </c>
      <c r="D20" s="23">
        <f>B5</f>
        <v>50</v>
      </c>
      <c r="E20" s="23">
        <f>B6</f>
        <v>40</v>
      </c>
      <c r="F20" s="23">
        <f>B7</f>
        <v>15</v>
      </c>
      <c r="G20" s="24">
        <v>0</v>
      </c>
      <c r="H20" s="23">
        <f t="shared" si="0"/>
        <v>105</v>
      </c>
      <c r="I20" s="25"/>
    </row>
    <row r="21" spans="1:9" ht="13.5" customHeight="1" x14ac:dyDescent="0.35">
      <c r="A21" s="26">
        <v>46189</v>
      </c>
      <c r="B21" s="27" t="s">
        <v>40</v>
      </c>
      <c r="C21" s="27" t="s">
        <v>41</v>
      </c>
      <c r="D21" s="28">
        <f>B5</f>
        <v>50</v>
      </c>
      <c r="E21" s="28">
        <f>B6</f>
        <v>40</v>
      </c>
      <c r="F21" s="28">
        <f>B7</f>
        <v>15</v>
      </c>
      <c r="G21" s="29">
        <v>0</v>
      </c>
      <c r="H21" s="28">
        <f t="shared" si="0"/>
        <v>105</v>
      </c>
      <c r="I21" s="30"/>
    </row>
    <row r="22" spans="1:9" ht="13.5" customHeight="1" x14ac:dyDescent="0.35">
      <c r="A22" s="21">
        <v>46190</v>
      </c>
      <c r="B22" s="22" t="s">
        <v>42</v>
      </c>
      <c r="C22" s="22" t="s">
        <v>41</v>
      </c>
      <c r="D22" s="23">
        <f>B5</f>
        <v>50</v>
      </c>
      <c r="E22" s="23">
        <f>B6</f>
        <v>40</v>
      </c>
      <c r="F22" s="23">
        <f>B7</f>
        <v>15</v>
      </c>
      <c r="G22" s="24">
        <v>0</v>
      </c>
      <c r="H22" s="23">
        <f t="shared" si="0"/>
        <v>105</v>
      </c>
      <c r="I22" s="25"/>
    </row>
    <row r="23" spans="1:9" ht="13.5" customHeight="1" x14ac:dyDescent="0.35">
      <c r="A23" s="26">
        <v>46191</v>
      </c>
      <c r="B23" s="27" t="s">
        <v>43</v>
      </c>
      <c r="C23" s="27" t="s">
        <v>41</v>
      </c>
      <c r="D23" s="28">
        <f>B5</f>
        <v>50</v>
      </c>
      <c r="E23" s="28">
        <f>B6</f>
        <v>40</v>
      </c>
      <c r="F23" s="28">
        <f>B7</f>
        <v>15</v>
      </c>
      <c r="G23" s="29">
        <v>0</v>
      </c>
      <c r="H23" s="28">
        <f t="shared" si="0"/>
        <v>105</v>
      </c>
      <c r="I23" s="30"/>
    </row>
    <row r="24" spans="1:9" ht="13.5" customHeight="1" x14ac:dyDescent="0.35">
      <c r="A24" s="21">
        <v>46192</v>
      </c>
      <c r="B24" s="22" t="s">
        <v>44</v>
      </c>
      <c r="C24" s="22" t="s">
        <v>41</v>
      </c>
      <c r="D24" s="23">
        <f>B5</f>
        <v>50</v>
      </c>
      <c r="E24" s="23">
        <f>B6</f>
        <v>40</v>
      </c>
      <c r="F24" s="23">
        <f>B7</f>
        <v>15</v>
      </c>
      <c r="G24" s="24">
        <v>0</v>
      </c>
      <c r="H24" s="23">
        <f t="shared" si="0"/>
        <v>105</v>
      </c>
      <c r="I24" s="25"/>
    </row>
    <row r="25" spans="1:9" ht="13.5" customHeight="1" x14ac:dyDescent="0.35">
      <c r="A25" s="26">
        <v>46193</v>
      </c>
      <c r="B25" s="27" t="s">
        <v>45</v>
      </c>
      <c r="C25" s="27" t="s">
        <v>41</v>
      </c>
      <c r="D25" s="28">
        <f>B5</f>
        <v>50</v>
      </c>
      <c r="E25" s="28">
        <f>B6</f>
        <v>40</v>
      </c>
      <c r="F25" s="28">
        <f>B7</f>
        <v>15</v>
      </c>
      <c r="G25" s="29">
        <v>0</v>
      </c>
      <c r="H25" s="28">
        <f t="shared" si="0"/>
        <v>105</v>
      </c>
      <c r="I25" s="30"/>
    </row>
    <row r="26" spans="1:9" ht="13.5" customHeight="1" x14ac:dyDescent="0.35">
      <c r="A26" s="21">
        <v>46194</v>
      </c>
      <c r="B26" s="22" t="s">
        <v>46</v>
      </c>
      <c r="C26" s="22" t="s">
        <v>41</v>
      </c>
      <c r="D26" s="23">
        <f>B5</f>
        <v>50</v>
      </c>
      <c r="E26" s="23">
        <f>B6</f>
        <v>40</v>
      </c>
      <c r="F26" s="23">
        <f>B7</f>
        <v>15</v>
      </c>
      <c r="G26" s="24">
        <v>0</v>
      </c>
      <c r="H26" s="23">
        <f t="shared" si="0"/>
        <v>105</v>
      </c>
      <c r="I26" s="25"/>
    </row>
    <row r="27" spans="1:9" ht="13.5" customHeight="1" x14ac:dyDescent="0.35">
      <c r="A27" s="26">
        <v>46195</v>
      </c>
      <c r="B27" s="27" t="s">
        <v>47</v>
      </c>
      <c r="C27" s="27" t="s">
        <v>41</v>
      </c>
      <c r="D27" s="28">
        <f>B5</f>
        <v>50</v>
      </c>
      <c r="E27" s="28">
        <f>B6</f>
        <v>40</v>
      </c>
      <c r="F27" s="28">
        <f>B7</f>
        <v>15</v>
      </c>
      <c r="G27" s="29">
        <v>0</v>
      </c>
      <c r="H27" s="28">
        <f t="shared" si="0"/>
        <v>105</v>
      </c>
      <c r="I27" s="30"/>
    </row>
    <row r="28" spans="1:9" ht="13.5" customHeight="1" x14ac:dyDescent="0.35">
      <c r="A28" s="31">
        <v>46196</v>
      </c>
      <c r="B28" s="32" t="s">
        <v>40</v>
      </c>
      <c r="C28" s="32" t="s">
        <v>15</v>
      </c>
      <c r="D28" s="33">
        <f>B8</f>
        <v>100</v>
      </c>
      <c r="E28" s="33">
        <f>B9</f>
        <v>40</v>
      </c>
      <c r="F28" s="33">
        <f>B10</f>
        <v>40</v>
      </c>
      <c r="G28" s="34">
        <v>0</v>
      </c>
      <c r="H28" s="33">
        <f t="shared" si="0"/>
        <v>180</v>
      </c>
      <c r="I28" s="35"/>
    </row>
    <row r="29" spans="1:9" ht="13.5" customHeight="1" x14ac:dyDescent="0.35">
      <c r="A29" s="26">
        <v>46197</v>
      </c>
      <c r="B29" s="27" t="s">
        <v>42</v>
      </c>
      <c r="C29" s="27" t="s">
        <v>15</v>
      </c>
      <c r="D29" s="28">
        <f>B8</f>
        <v>100</v>
      </c>
      <c r="E29" s="28">
        <f>B9</f>
        <v>40</v>
      </c>
      <c r="F29" s="28">
        <f>B10</f>
        <v>40</v>
      </c>
      <c r="G29" s="29">
        <v>0</v>
      </c>
      <c r="H29" s="28">
        <f t="shared" si="0"/>
        <v>180</v>
      </c>
      <c r="I29" s="30"/>
    </row>
    <row r="30" spans="1:9" ht="13.5" customHeight="1" x14ac:dyDescent="0.35">
      <c r="A30" s="31">
        <v>46198</v>
      </c>
      <c r="B30" s="32" t="s">
        <v>43</v>
      </c>
      <c r="C30" s="32" t="s">
        <v>15</v>
      </c>
      <c r="D30" s="33">
        <f>B8</f>
        <v>100</v>
      </c>
      <c r="E30" s="33">
        <f>B9</f>
        <v>40</v>
      </c>
      <c r="F30" s="33">
        <f>B10</f>
        <v>40</v>
      </c>
      <c r="G30" s="34">
        <v>0</v>
      </c>
      <c r="H30" s="33">
        <f t="shared" si="0"/>
        <v>180</v>
      </c>
      <c r="I30" s="35"/>
    </row>
    <row r="31" spans="1:9" ht="13.5" customHeight="1" x14ac:dyDescent="0.35">
      <c r="A31" s="26">
        <v>46199</v>
      </c>
      <c r="B31" s="27" t="s">
        <v>44</v>
      </c>
      <c r="C31" s="27" t="s">
        <v>15</v>
      </c>
      <c r="D31" s="28">
        <f>B8</f>
        <v>100</v>
      </c>
      <c r="E31" s="28">
        <f>B9</f>
        <v>40</v>
      </c>
      <c r="F31" s="28">
        <f>B10</f>
        <v>40</v>
      </c>
      <c r="G31" s="29">
        <v>0</v>
      </c>
      <c r="H31" s="28">
        <f t="shared" si="0"/>
        <v>180</v>
      </c>
      <c r="I31" s="30"/>
    </row>
    <row r="32" spans="1:9" ht="13.5" customHeight="1" x14ac:dyDescent="0.35">
      <c r="A32" s="31">
        <v>46200</v>
      </c>
      <c r="B32" s="32" t="s">
        <v>45</v>
      </c>
      <c r="C32" s="32" t="s">
        <v>15</v>
      </c>
      <c r="D32" s="33">
        <f>B8</f>
        <v>100</v>
      </c>
      <c r="E32" s="33">
        <f>B9</f>
        <v>40</v>
      </c>
      <c r="F32" s="33">
        <f>B10</f>
        <v>40</v>
      </c>
      <c r="G32" s="34">
        <v>0</v>
      </c>
      <c r="H32" s="33">
        <f t="shared" si="0"/>
        <v>180</v>
      </c>
      <c r="I32" s="35"/>
    </row>
    <row r="33" spans="1:9" ht="13.5" customHeight="1" x14ac:dyDescent="0.35">
      <c r="A33" s="26">
        <v>46201</v>
      </c>
      <c r="B33" s="27" t="s">
        <v>46</v>
      </c>
      <c r="C33" s="27" t="s">
        <v>15</v>
      </c>
      <c r="D33" s="28">
        <f>B8</f>
        <v>100</v>
      </c>
      <c r="E33" s="28">
        <f>B9</f>
        <v>40</v>
      </c>
      <c r="F33" s="28">
        <f>B10</f>
        <v>40</v>
      </c>
      <c r="G33" s="29">
        <v>0</v>
      </c>
      <c r="H33" s="28">
        <f t="shared" si="0"/>
        <v>180</v>
      </c>
      <c r="I33" s="30"/>
    </row>
    <row r="34" spans="1:9" ht="13.5" customHeight="1" x14ac:dyDescent="0.35">
      <c r="A34" s="31">
        <v>46202</v>
      </c>
      <c r="B34" s="32" t="s">
        <v>47</v>
      </c>
      <c r="C34" s="32" t="s">
        <v>15</v>
      </c>
      <c r="D34" s="33">
        <f>B8</f>
        <v>100</v>
      </c>
      <c r="E34" s="33">
        <f>B9</f>
        <v>40</v>
      </c>
      <c r="F34" s="33">
        <f>B10</f>
        <v>40</v>
      </c>
      <c r="G34" s="34">
        <v>0</v>
      </c>
      <c r="H34" s="33">
        <f t="shared" si="0"/>
        <v>180</v>
      </c>
      <c r="I34" s="35"/>
    </row>
    <row r="35" spans="1:9" ht="13.5" customHeight="1" x14ac:dyDescent="0.35">
      <c r="A35" s="26">
        <v>46203</v>
      </c>
      <c r="B35" s="27" t="s">
        <v>40</v>
      </c>
      <c r="C35" s="27" t="s">
        <v>15</v>
      </c>
      <c r="D35" s="28">
        <f>B8</f>
        <v>100</v>
      </c>
      <c r="E35" s="28">
        <f>B9</f>
        <v>40</v>
      </c>
      <c r="F35" s="28">
        <f>B10</f>
        <v>40</v>
      </c>
      <c r="G35" s="29">
        <v>0</v>
      </c>
      <c r="H35" s="28">
        <f t="shared" si="0"/>
        <v>180</v>
      </c>
      <c r="I35" s="30"/>
    </row>
    <row r="36" spans="1:9" ht="13.5" customHeight="1" x14ac:dyDescent="0.35">
      <c r="A36" s="31">
        <v>46204</v>
      </c>
      <c r="B36" s="32" t="s">
        <v>42</v>
      </c>
      <c r="C36" s="32" t="s">
        <v>15</v>
      </c>
      <c r="D36" s="33">
        <f>B8</f>
        <v>100</v>
      </c>
      <c r="E36" s="33">
        <f>B9</f>
        <v>40</v>
      </c>
      <c r="F36" s="33">
        <f>B10</f>
        <v>40</v>
      </c>
      <c r="G36" s="34">
        <v>0</v>
      </c>
      <c r="H36" s="33">
        <f t="shared" si="0"/>
        <v>180</v>
      </c>
      <c r="I36" s="35"/>
    </row>
    <row r="37" spans="1:9" ht="13.5" customHeight="1" x14ac:dyDescent="0.35">
      <c r="A37" s="26">
        <v>46205</v>
      </c>
      <c r="B37" s="27" t="s">
        <v>43</v>
      </c>
      <c r="C37" s="27" t="s">
        <v>15</v>
      </c>
      <c r="D37" s="28">
        <f>B8</f>
        <v>100</v>
      </c>
      <c r="E37" s="28">
        <f>B9</f>
        <v>40</v>
      </c>
      <c r="F37" s="28">
        <f>B10</f>
        <v>40</v>
      </c>
      <c r="G37" s="29">
        <v>0</v>
      </c>
      <c r="H37" s="28">
        <f t="shared" si="0"/>
        <v>180</v>
      </c>
      <c r="I37" s="30"/>
    </row>
    <row r="38" spans="1:9" ht="13.5" customHeight="1" x14ac:dyDescent="0.35">
      <c r="A38" s="31">
        <v>46206</v>
      </c>
      <c r="B38" s="32" t="s">
        <v>44</v>
      </c>
      <c r="C38" s="32" t="s">
        <v>15</v>
      </c>
      <c r="D38" s="33">
        <f>B8</f>
        <v>100</v>
      </c>
      <c r="E38" s="33">
        <f>B9</f>
        <v>40</v>
      </c>
      <c r="F38" s="33">
        <f>B10</f>
        <v>40</v>
      </c>
      <c r="G38" s="34">
        <v>0</v>
      </c>
      <c r="H38" s="33">
        <f t="shared" si="0"/>
        <v>180</v>
      </c>
      <c r="I38" s="35"/>
    </row>
    <row r="39" spans="1:9" ht="13.5" customHeight="1" x14ac:dyDescent="0.35">
      <c r="A39" s="26">
        <v>46207</v>
      </c>
      <c r="B39" s="27" t="s">
        <v>45</v>
      </c>
      <c r="C39" s="27" t="s">
        <v>15</v>
      </c>
      <c r="D39" s="28">
        <f>B8</f>
        <v>100</v>
      </c>
      <c r="E39" s="28">
        <f>B9</f>
        <v>40</v>
      </c>
      <c r="F39" s="28">
        <f>B10</f>
        <v>40</v>
      </c>
      <c r="G39" s="29">
        <v>0</v>
      </c>
      <c r="H39" s="28">
        <f t="shared" si="0"/>
        <v>180</v>
      </c>
      <c r="I39" s="30"/>
    </row>
    <row r="40" spans="1:9" ht="13.5" customHeight="1" x14ac:dyDescent="0.35">
      <c r="A40" s="31">
        <v>46208</v>
      </c>
      <c r="B40" s="32" t="s">
        <v>46</v>
      </c>
      <c r="C40" s="32" t="s">
        <v>15</v>
      </c>
      <c r="D40" s="33">
        <f>B8</f>
        <v>100</v>
      </c>
      <c r="E40" s="33">
        <f>B9</f>
        <v>40</v>
      </c>
      <c r="F40" s="33">
        <f>B10</f>
        <v>40</v>
      </c>
      <c r="G40" s="34">
        <v>0</v>
      </c>
      <c r="H40" s="33">
        <f t="shared" si="0"/>
        <v>180</v>
      </c>
      <c r="I40" s="35"/>
    </row>
    <row r="41" spans="1:9" ht="13.5" customHeight="1" x14ac:dyDescent="0.35">
      <c r="A41" s="26">
        <v>46209</v>
      </c>
      <c r="B41" s="27" t="s">
        <v>47</v>
      </c>
      <c r="C41" s="27" t="s">
        <v>15</v>
      </c>
      <c r="D41" s="28">
        <f>B8</f>
        <v>100</v>
      </c>
      <c r="E41" s="28">
        <f>B9</f>
        <v>40</v>
      </c>
      <c r="F41" s="28">
        <f>B10</f>
        <v>40</v>
      </c>
      <c r="G41" s="29">
        <v>0</v>
      </c>
      <c r="H41" s="28">
        <f t="shared" si="0"/>
        <v>180</v>
      </c>
      <c r="I41" s="30"/>
    </row>
    <row r="42" spans="1:9" ht="13.5" customHeight="1" x14ac:dyDescent="0.35">
      <c r="A42" s="31">
        <v>46210</v>
      </c>
      <c r="B42" s="32" t="s">
        <v>40</v>
      </c>
      <c r="C42" s="32" t="s">
        <v>15</v>
      </c>
      <c r="D42" s="33">
        <f>B8</f>
        <v>100</v>
      </c>
      <c r="E42" s="33">
        <f>B9</f>
        <v>40</v>
      </c>
      <c r="F42" s="33">
        <f>B10</f>
        <v>40</v>
      </c>
      <c r="G42" s="34">
        <v>0</v>
      </c>
      <c r="H42" s="33">
        <f t="shared" si="0"/>
        <v>180</v>
      </c>
      <c r="I42" s="35"/>
    </row>
    <row r="43" spans="1:9" ht="13.5" customHeight="1" x14ac:dyDescent="0.35">
      <c r="A43" s="26">
        <v>46211</v>
      </c>
      <c r="B43" s="27" t="s">
        <v>42</v>
      </c>
      <c r="C43" s="27" t="s">
        <v>15</v>
      </c>
      <c r="D43" s="28">
        <f>B8</f>
        <v>100</v>
      </c>
      <c r="E43" s="28">
        <f>B9</f>
        <v>40</v>
      </c>
      <c r="F43" s="28">
        <f>B10</f>
        <v>40</v>
      </c>
      <c r="G43" s="29">
        <v>0</v>
      </c>
      <c r="H43" s="28">
        <f t="shared" si="0"/>
        <v>180</v>
      </c>
      <c r="I43" s="30"/>
    </row>
    <row r="44" spans="1:9" ht="13.5" customHeight="1" x14ac:dyDescent="0.35">
      <c r="A44" s="31">
        <v>46212</v>
      </c>
      <c r="B44" s="32" t="s">
        <v>43</v>
      </c>
      <c r="C44" s="32" t="s">
        <v>15</v>
      </c>
      <c r="D44" s="33">
        <f>B8</f>
        <v>100</v>
      </c>
      <c r="E44" s="33">
        <f>B9</f>
        <v>40</v>
      </c>
      <c r="F44" s="33">
        <f>B10</f>
        <v>40</v>
      </c>
      <c r="G44" s="34">
        <v>0</v>
      </c>
      <c r="H44" s="33">
        <f t="shared" si="0"/>
        <v>180</v>
      </c>
      <c r="I44" s="35"/>
    </row>
    <row r="45" spans="1:9" ht="13.5" customHeight="1" x14ac:dyDescent="0.35">
      <c r="A45" s="26">
        <v>46213</v>
      </c>
      <c r="B45" s="27" t="s">
        <v>44</v>
      </c>
      <c r="C45" s="27" t="s">
        <v>15</v>
      </c>
      <c r="D45" s="28">
        <f>B8</f>
        <v>100</v>
      </c>
      <c r="E45" s="28">
        <f>B9</f>
        <v>40</v>
      </c>
      <c r="F45" s="28">
        <f>B10</f>
        <v>40</v>
      </c>
      <c r="G45" s="29">
        <v>0</v>
      </c>
      <c r="H45" s="28">
        <f t="shared" si="0"/>
        <v>180</v>
      </c>
      <c r="I45" s="30"/>
    </row>
    <row r="46" spans="1:9" ht="13.5" customHeight="1" x14ac:dyDescent="0.35">
      <c r="A46" s="31">
        <v>46214</v>
      </c>
      <c r="B46" s="32" t="s">
        <v>45</v>
      </c>
      <c r="C46" s="32" t="s">
        <v>15</v>
      </c>
      <c r="D46" s="33">
        <f>B8</f>
        <v>100</v>
      </c>
      <c r="E46" s="33">
        <f>B9</f>
        <v>40</v>
      </c>
      <c r="F46" s="33">
        <f>B10</f>
        <v>40</v>
      </c>
      <c r="G46" s="34">
        <v>0</v>
      </c>
      <c r="H46" s="33">
        <f t="shared" si="0"/>
        <v>180</v>
      </c>
      <c r="I46" s="35"/>
    </row>
    <row r="47" spans="1:9" ht="13.5" customHeight="1" x14ac:dyDescent="0.35">
      <c r="A47" s="26">
        <v>46215</v>
      </c>
      <c r="B47" s="27" t="s">
        <v>46</v>
      </c>
      <c r="C47" s="27" t="s">
        <v>15</v>
      </c>
      <c r="D47" s="28">
        <f>B8</f>
        <v>100</v>
      </c>
      <c r="E47" s="28">
        <f>B9</f>
        <v>40</v>
      </c>
      <c r="F47" s="28">
        <f>B10</f>
        <v>40</v>
      </c>
      <c r="G47" s="29">
        <v>0</v>
      </c>
      <c r="H47" s="28">
        <f t="shared" si="0"/>
        <v>180</v>
      </c>
      <c r="I47" s="30"/>
    </row>
    <row r="48" spans="1:9" ht="15.75" customHeight="1" x14ac:dyDescent="0.35">
      <c r="A48" s="3" t="s">
        <v>48</v>
      </c>
      <c r="B48" s="3"/>
      <c r="C48" s="3"/>
      <c r="D48" s="36">
        <f>SUM(D14:D27)</f>
        <v>700</v>
      </c>
      <c r="E48" s="36">
        <f>SUM(E14:E27)</f>
        <v>560</v>
      </c>
      <c r="F48" s="36">
        <f>SUM(F14:F27)</f>
        <v>210</v>
      </c>
      <c r="G48" s="36">
        <f>SUM(G14:G27)</f>
        <v>0</v>
      </c>
      <c r="H48" s="36">
        <f>SUM(H14:H27)</f>
        <v>1470</v>
      </c>
    </row>
    <row r="49" spans="1:9" ht="15.75" customHeight="1" x14ac:dyDescent="0.35">
      <c r="A49" s="2" t="s">
        <v>49</v>
      </c>
      <c r="B49" s="2"/>
      <c r="C49" s="2"/>
      <c r="D49" s="37">
        <f>SUM(D28:D47)</f>
        <v>2000</v>
      </c>
      <c r="E49" s="37">
        <f>SUM(E28:E47)</f>
        <v>800</v>
      </c>
      <c r="F49" s="37">
        <f>SUM(F28:F47)</f>
        <v>800</v>
      </c>
      <c r="G49" s="37">
        <f>SUM(G28:G47)</f>
        <v>0</v>
      </c>
      <c r="H49" s="37">
        <f>SUM(H28:H47)</f>
        <v>3600</v>
      </c>
    </row>
    <row r="50" spans="1:9" ht="19.5" customHeight="1" x14ac:dyDescent="0.35">
      <c r="A50" s="1" t="s">
        <v>14</v>
      </c>
      <c r="B50" s="1"/>
      <c r="C50" s="1"/>
      <c r="D50" s="38">
        <f>D48+D49</f>
        <v>2700</v>
      </c>
      <c r="E50" s="38">
        <f>E48+E49</f>
        <v>1360</v>
      </c>
      <c r="F50" s="38">
        <f>F48+F49</f>
        <v>1010</v>
      </c>
      <c r="G50" s="38">
        <f>G48+G49</f>
        <v>0</v>
      </c>
      <c r="H50" s="38">
        <f>H48+H49</f>
        <v>5070</v>
      </c>
    </row>
    <row r="52" spans="1:9" x14ac:dyDescent="0.35">
      <c r="A52" s="6" t="s">
        <v>50</v>
      </c>
      <c r="B52" s="6"/>
      <c r="C52" s="6"/>
      <c r="D52" s="6"/>
      <c r="E52" s="6"/>
      <c r="F52" s="6"/>
      <c r="G52" s="6"/>
      <c r="H52" s="6"/>
      <c r="I52" s="6"/>
    </row>
  </sheetData>
  <mergeCells count="7">
    <mergeCell ref="A50:C50"/>
    <mergeCell ref="A52:I52"/>
    <mergeCell ref="A1:I1"/>
    <mergeCell ref="A2:I2"/>
    <mergeCell ref="A4:I4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showGridLines="0" zoomScaleNormal="100" workbookViewId="0">
      <pane ySplit="13" topLeftCell="A14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5" customWidth="1"/>
    <col min="3" max="3" width="22" customWidth="1"/>
    <col min="4" max="4" width="11" customWidth="1"/>
    <col min="5" max="5" width="10" customWidth="1"/>
    <col min="6" max="6" width="11" customWidth="1"/>
    <col min="7" max="7" width="10" customWidth="1"/>
    <col min="8" max="8" width="13" customWidth="1"/>
    <col min="9" max="9" width="28" customWidth="1"/>
  </cols>
  <sheetData>
    <row r="1" spans="1:9" ht="24" customHeight="1" x14ac:dyDescent="0.35">
      <c r="A1" s="4" t="s">
        <v>51</v>
      </c>
      <c r="B1" s="4"/>
      <c r="C1" s="4"/>
      <c r="D1" s="4"/>
      <c r="E1" s="4"/>
      <c r="F1" s="4"/>
      <c r="G1" s="4"/>
      <c r="H1" s="4"/>
      <c r="I1" s="4"/>
    </row>
    <row r="2" spans="1:9" ht="12.75" customHeight="1" x14ac:dyDescent="0.35">
      <c r="A2" s="6" t="s">
        <v>22</v>
      </c>
      <c r="B2" s="6"/>
      <c r="C2" s="6"/>
      <c r="D2" s="6"/>
      <c r="E2" s="6"/>
      <c r="F2" s="6"/>
      <c r="G2" s="6"/>
      <c r="H2" s="6"/>
      <c r="I2" s="6"/>
    </row>
    <row r="3" spans="1:9" ht="6" customHeight="1" x14ac:dyDescent="0.35"/>
    <row r="4" spans="1:9" ht="15.75" customHeight="1" x14ac:dyDescent="0.35">
      <c r="A4" s="5" t="s">
        <v>23</v>
      </c>
      <c r="B4" s="5"/>
      <c r="C4" s="5"/>
      <c r="D4" s="5"/>
      <c r="E4" s="5"/>
      <c r="F4" s="5"/>
      <c r="G4" s="5"/>
      <c r="H4" s="5"/>
      <c r="I4" s="5"/>
    </row>
    <row r="5" spans="1:9" ht="13.5" customHeight="1" x14ac:dyDescent="0.35">
      <c r="A5" s="8" t="s">
        <v>24</v>
      </c>
      <c r="B5" s="9">
        <v>50</v>
      </c>
    </row>
    <row r="6" spans="1:9" ht="13.5" customHeight="1" x14ac:dyDescent="0.35">
      <c r="A6" s="8" t="s">
        <v>25</v>
      </c>
      <c r="B6" s="9">
        <v>40</v>
      </c>
    </row>
    <row r="7" spans="1:9" ht="13.5" customHeight="1" x14ac:dyDescent="0.35">
      <c r="A7" s="8" t="s">
        <v>26</v>
      </c>
      <c r="B7" s="9">
        <v>15</v>
      </c>
    </row>
    <row r="8" spans="1:9" ht="13.5" customHeight="1" x14ac:dyDescent="0.35">
      <c r="A8" s="8" t="s">
        <v>52</v>
      </c>
      <c r="B8" s="9">
        <v>90</v>
      </c>
    </row>
    <row r="9" spans="1:9" ht="13.5" customHeight="1" x14ac:dyDescent="0.35">
      <c r="A9" s="8" t="s">
        <v>53</v>
      </c>
      <c r="B9" s="9">
        <v>25</v>
      </c>
    </row>
    <row r="10" spans="1:9" ht="13.5" customHeight="1" x14ac:dyDescent="0.35">
      <c r="A10" s="8" t="s">
        <v>54</v>
      </c>
      <c r="B10" s="9">
        <v>45</v>
      </c>
    </row>
    <row r="11" spans="1:9" ht="13.5" customHeight="1" x14ac:dyDescent="0.35">
      <c r="A11" s="8" t="s">
        <v>30</v>
      </c>
      <c r="B11" s="9">
        <v>0</v>
      </c>
    </row>
    <row r="13" spans="1:9" ht="19.5" customHeight="1" x14ac:dyDescent="0.35">
      <c r="A13" s="10" t="s">
        <v>31</v>
      </c>
      <c r="B13" s="10" t="s">
        <v>32</v>
      </c>
      <c r="C13" s="10" t="s">
        <v>33</v>
      </c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</row>
    <row r="14" spans="1:9" ht="13.5" customHeight="1" x14ac:dyDescent="0.35">
      <c r="A14" s="21">
        <v>46182</v>
      </c>
      <c r="B14" s="22" t="s">
        <v>40</v>
      </c>
      <c r="C14" s="22" t="s">
        <v>41</v>
      </c>
      <c r="D14" s="23">
        <f>B5</f>
        <v>50</v>
      </c>
      <c r="E14" s="23">
        <f>B6</f>
        <v>40</v>
      </c>
      <c r="F14" s="23">
        <f>B7</f>
        <v>15</v>
      </c>
      <c r="G14" s="24">
        <v>0</v>
      </c>
      <c r="H14" s="23">
        <f t="shared" ref="H14:H47" si="0">D14+E14+F14+G14</f>
        <v>105</v>
      </c>
      <c r="I14" s="25"/>
    </row>
    <row r="15" spans="1:9" ht="13.5" customHeight="1" x14ac:dyDescent="0.35">
      <c r="A15" s="26">
        <v>46183</v>
      </c>
      <c r="B15" s="27" t="s">
        <v>42</v>
      </c>
      <c r="C15" s="27" t="s">
        <v>41</v>
      </c>
      <c r="D15" s="28">
        <f>B5</f>
        <v>50</v>
      </c>
      <c r="E15" s="28">
        <f>B6</f>
        <v>40</v>
      </c>
      <c r="F15" s="28">
        <f>B7</f>
        <v>15</v>
      </c>
      <c r="G15" s="29">
        <v>0</v>
      </c>
      <c r="H15" s="28">
        <f t="shared" si="0"/>
        <v>105</v>
      </c>
      <c r="I15" s="30"/>
    </row>
    <row r="16" spans="1:9" ht="13.5" customHeight="1" x14ac:dyDescent="0.35">
      <c r="A16" s="21">
        <v>46184</v>
      </c>
      <c r="B16" s="22" t="s">
        <v>43</v>
      </c>
      <c r="C16" s="22" t="s">
        <v>41</v>
      </c>
      <c r="D16" s="23">
        <f>B5</f>
        <v>50</v>
      </c>
      <c r="E16" s="23">
        <f>B6</f>
        <v>40</v>
      </c>
      <c r="F16" s="23">
        <f>B7</f>
        <v>15</v>
      </c>
      <c r="G16" s="24">
        <v>0</v>
      </c>
      <c r="H16" s="23">
        <f t="shared" si="0"/>
        <v>105</v>
      </c>
      <c r="I16" s="25"/>
    </row>
    <row r="17" spans="1:9" ht="13.5" customHeight="1" x14ac:dyDescent="0.35">
      <c r="A17" s="26">
        <v>46185</v>
      </c>
      <c r="B17" s="27" t="s">
        <v>44</v>
      </c>
      <c r="C17" s="27" t="s">
        <v>41</v>
      </c>
      <c r="D17" s="28">
        <f>B5</f>
        <v>50</v>
      </c>
      <c r="E17" s="28">
        <f>B6</f>
        <v>40</v>
      </c>
      <c r="F17" s="28">
        <f>B7</f>
        <v>15</v>
      </c>
      <c r="G17" s="29">
        <v>0</v>
      </c>
      <c r="H17" s="28">
        <f t="shared" si="0"/>
        <v>105</v>
      </c>
      <c r="I17" s="30"/>
    </row>
    <row r="18" spans="1:9" ht="13.5" customHeight="1" x14ac:dyDescent="0.35">
      <c r="A18" s="21">
        <v>46186</v>
      </c>
      <c r="B18" s="22" t="s">
        <v>45</v>
      </c>
      <c r="C18" s="22" t="s">
        <v>41</v>
      </c>
      <c r="D18" s="23">
        <f>B5</f>
        <v>50</v>
      </c>
      <c r="E18" s="23">
        <f>B6</f>
        <v>40</v>
      </c>
      <c r="F18" s="23">
        <f>B7</f>
        <v>15</v>
      </c>
      <c r="G18" s="24">
        <v>0</v>
      </c>
      <c r="H18" s="23">
        <f t="shared" si="0"/>
        <v>105</v>
      </c>
      <c r="I18" s="25"/>
    </row>
    <row r="19" spans="1:9" ht="13.5" customHeight="1" x14ac:dyDescent="0.35">
      <c r="A19" s="26">
        <v>46187</v>
      </c>
      <c r="B19" s="27" t="s">
        <v>46</v>
      </c>
      <c r="C19" s="27" t="s">
        <v>41</v>
      </c>
      <c r="D19" s="28">
        <f>B5</f>
        <v>50</v>
      </c>
      <c r="E19" s="28">
        <f>B6</f>
        <v>40</v>
      </c>
      <c r="F19" s="28">
        <f>B7</f>
        <v>15</v>
      </c>
      <c r="G19" s="29">
        <v>0</v>
      </c>
      <c r="H19" s="28">
        <f t="shared" si="0"/>
        <v>105</v>
      </c>
      <c r="I19" s="30"/>
    </row>
    <row r="20" spans="1:9" ht="13.5" customHeight="1" x14ac:dyDescent="0.35">
      <c r="A20" s="21">
        <v>46188</v>
      </c>
      <c r="B20" s="22" t="s">
        <v>47</v>
      </c>
      <c r="C20" s="22" t="s">
        <v>41</v>
      </c>
      <c r="D20" s="23">
        <f>B5</f>
        <v>50</v>
      </c>
      <c r="E20" s="23">
        <f>B6</f>
        <v>40</v>
      </c>
      <c r="F20" s="23">
        <f>B7</f>
        <v>15</v>
      </c>
      <c r="G20" s="24">
        <v>0</v>
      </c>
      <c r="H20" s="23">
        <f t="shared" si="0"/>
        <v>105</v>
      </c>
      <c r="I20" s="25"/>
    </row>
    <row r="21" spans="1:9" ht="13.5" customHeight="1" x14ac:dyDescent="0.35">
      <c r="A21" s="26">
        <v>46189</v>
      </c>
      <c r="B21" s="27" t="s">
        <v>40</v>
      </c>
      <c r="C21" s="27" t="s">
        <v>41</v>
      </c>
      <c r="D21" s="28">
        <f>B5</f>
        <v>50</v>
      </c>
      <c r="E21" s="28">
        <f>B6</f>
        <v>40</v>
      </c>
      <c r="F21" s="28">
        <f>B7</f>
        <v>15</v>
      </c>
      <c r="G21" s="29">
        <v>0</v>
      </c>
      <c r="H21" s="28">
        <f t="shared" si="0"/>
        <v>105</v>
      </c>
      <c r="I21" s="30"/>
    </row>
    <row r="22" spans="1:9" ht="13.5" customHeight="1" x14ac:dyDescent="0.35">
      <c r="A22" s="21">
        <v>46190</v>
      </c>
      <c r="B22" s="22" t="s">
        <v>42</v>
      </c>
      <c r="C22" s="22" t="s">
        <v>41</v>
      </c>
      <c r="D22" s="23">
        <f>B5</f>
        <v>50</v>
      </c>
      <c r="E22" s="23">
        <f>B6</f>
        <v>40</v>
      </c>
      <c r="F22" s="23">
        <f>B7</f>
        <v>15</v>
      </c>
      <c r="G22" s="24">
        <v>0</v>
      </c>
      <c r="H22" s="23">
        <f t="shared" si="0"/>
        <v>105</v>
      </c>
      <c r="I22" s="25"/>
    </row>
    <row r="23" spans="1:9" ht="13.5" customHeight="1" x14ac:dyDescent="0.35">
      <c r="A23" s="26">
        <v>46191</v>
      </c>
      <c r="B23" s="27" t="s">
        <v>43</v>
      </c>
      <c r="C23" s="27" t="s">
        <v>41</v>
      </c>
      <c r="D23" s="28">
        <f>B5</f>
        <v>50</v>
      </c>
      <c r="E23" s="28">
        <f>B6</f>
        <v>40</v>
      </c>
      <c r="F23" s="28">
        <f>B7</f>
        <v>15</v>
      </c>
      <c r="G23" s="29">
        <v>0</v>
      </c>
      <c r="H23" s="28">
        <f t="shared" si="0"/>
        <v>105</v>
      </c>
      <c r="I23" s="30"/>
    </row>
    <row r="24" spans="1:9" ht="13.5" customHeight="1" x14ac:dyDescent="0.35">
      <c r="A24" s="21">
        <v>46192</v>
      </c>
      <c r="B24" s="22" t="s">
        <v>44</v>
      </c>
      <c r="C24" s="22" t="s">
        <v>41</v>
      </c>
      <c r="D24" s="23">
        <f>B5</f>
        <v>50</v>
      </c>
      <c r="E24" s="23">
        <f>B6</f>
        <v>40</v>
      </c>
      <c r="F24" s="23">
        <f>B7</f>
        <v>15</v>
      </c>
      <c r="G24" s="24">
        <v>0</v>
      </c>
      <c r="H24" s="23">
        <f t="shared" si="0"/>
        <v>105</v>
      </c>
      <c r="I24" s="25"/>
    </row>
    <row r="25" spans="1:9" ht="13.5" customHeight="1" x14ac:dyDescent="0.35">
      <c r="A25" s="26">
        <v>46193</v>
      </c>
      <c r="B25" s="27" t="s">
        <v>45</v>
      </c>
      <c r="C25" s="27" t="s">
        <v>41</v>
      </c>
      <c r="D25" s="28">
        <f>B5</f>
        <v>50</v>
      </c>
      <c r="E25" s="28">
        <f>B6</f>
        <v>40</v>
      </c>
      <c r="F25" s="28">
        <f>B7</f>
        <v>15</v>
      </c>
      <c r="G25" s="29">
        <v>0</v>
      </c>
      <c r="H25" s="28">
        <f t="shared" si="0"/>
        <v>105</v>
      </c>
      <c r="I25" s="30"/>
    </row>
    <row r="26" spans="1:9" ht="13.5" customHeight="1" x14ac:dyDescent="0.35">
      <c r="A26" s="21">
        <v>46194</v>
      </c>
      <c r="B26" s="22" t="s">
        <v>46</v>
      </c>
      <c r="C26" s="22" t="s">
        <v>41</v>
      </c>
      <c r="D26" s="23">
        <f>B5</f>
        <v>50</v>
      </c>
      <c r="E26" s="23">
        <f>B6</f>
        <v>40</v>
      </c>
      <c r="F26" s="23">
        <f>B7</f>
        <v>15</v>
      </c>
      <c r="G26" s="24">
        <v>0</v>
      </c>
      <c r="H26" s="23">
        <f t="shared" si="0"/>
        <v>105</v>
      </c>
      <c r="I26" s="25"/>
    </row>
    <row r="27" spans="1:9" ht="13.5" customHeight="1" x14ac:dyDescent="0.35">
      <c r="A27" s="26">
        <v>46195</v>
      </c>
      <c r="B27" s="27" t="s">
        <v>47</v>
      </c>
      <c r="C27" s="27" t="s">
        <v>41</v>
      </c>
      <c r="D27" s="28">
        <f>B5</f>
        <v>50</v>
      </c>
      <c r="E27" s="28">
        <f>B6</f>
        <v>40</v>
      </c>
      <c r="F27" s="28">
        <f>B7</f>
        <v>15</v>
      </c>
      <c r="G27" s="29">
        <v>0</v>
      </c>
      <c r="H27" s="28">
        <f t="shared" si="0"/>
        <v>105</v>
      </c>
      <c r="I27" s="30"/>
    </row>
    <row r="28" spans="1:9" ht="13.5" customHeight="1" x14ac:dyDescent="0.35">
      <c r="A28" s="31">
        <v>46196</v>
      </c>
      <c r="B28" s="32" t="s">
        <v>40</v>
      </c>
      <c r="C28" s="32" t="s">
        <v>16</v>
      </c>
      <c r="D28" s="33">
        <f>B8</f>
        <v>90</v>
      </c>
      <c r="E28" s="33">
        <f>B9</f>
        <v>25</v>
      </c>
      <c r="F28" s="33">
        <f>B10</f>
        <v>45</v>
      </c>
      <c r="G28" s="34">
        <v>0</v>
      </c>
      <c r="H28" s="33">
        <f t="shared" si="0"/>
        <v>160</v>
      </c>
      <c r="I28" s="35"/>
    </row>
    <row r="29" spans="1:9" ht="13.5" customHeight="1" x14ac:dyDescent="0.35">
      <c r="A29" s="26">
        <v>46197</v>
      </c>
      <c r="B29" s="27" t="s">
        <v>42</v>
      </c>
      <c r="C29" s="27" t="s">
        <v>16</v>
      </c>
      <c r="D29" s="28">
        <f>B8</f>
        <v>90</v>
      </c>
      <c r="E29" s="28">
        <f>B9</f>
        <v>25</v>
      </c>
      <c r="F29" s="28">
        <f>B10</f>
        <v>45</v>
      </c>
      <c r="G29" s="29">
        <v>0</v>
      </c>
      <c r="H29" s="28">
        <f t="shared" si="0"/>
        <v>160</v>
      </c>
      <c r="I29" s="30"/>
    </row>
    <row r="30" spans="1:9" ht="13.5" customHeight="1" x14ac:dyDescent="0.35">
      <c r="A30" s="31">
        <v>46198</v>
      </c>
      <c r="B30" s="32" t="s">
        <v>43</v>
      </c>
      <c r="C30" s="32" t="s">
        <v>16</v>
      </c>
      <c r="D30" s="33">
        <f>B8</f>
        <v>90</v>
      </c>
      <c r="E30" s="33">
        <f>B9</f>
        <v>25</v>
      </c>
      <c r="F30" s="33">
        <f>B10</f>
        <v>45</v>
      </c>
      <c r="G30" s="34">
        <v>0</v>
      </c>
      <c r="H30" s="33">
        <f t="shared" si="0"/>
        <v>160</v>
      </c>
      <c r="I30" s="35"/>
    </row>
    <row r="31" spans="1:9" ht="13.5" customHeight="1" x14ac:dyDescent="0.35">
      <c r="A31" s="26">
        <v>46199</v>
      </c>
      <c r="B31" s="27" t="s">
        <v>44</v>
      </c>
      <c r="C31" s="27" t="s">
        <v>16</v>
      </c>
      <c r="D31" s="28">
        <f>B8</f>
        <v>90</v>
      </c>
      <c r="E31" s="28">
        <f>B9</f>
        <v>25</v>
      </c>
      <c r="F31" s="28">
        <f>B10</f>
        <v>45</v>
      </c>
      <c r="G31" s="29">
        <v>0</v>
      </c>
      <c r="H31" s="28">
        <f t="shared" si="0"/>
        <v>160</v>
      </c>
      <c r="I31" s="30"/>
    </row>
    <row r="32" spans="1:9" ht="13.5" customHeight="1" x14ac:dyDescent="0.35">
      <c r="A32" s="31">
        <v>46200</v>
      </c>
      <c r="B32" s="32" t="s">
        <v>45</v>
      </c>
      <c r="C32" s="32" t="s">
        <v>16</v>
      </c>
      <c r="D32" s="33">
        <f>B8</f>
        <v>90</v>
      </c>
      <c r="E32" s="33">
        <f>B9</f>
        <v>25</v>
      </c>
      <c r="F32" s="33">
        <f>B10</f>
        <v>45</v>
      </c>
      <c r="G32" s="34">
        <v>0</v>
      </c>
      <c r="H32" s="33">
        <f t="shared" si="0"/>
        <v>160</v>
      </c>
      <c r="I32" s="35"/>
    </row>
    <row r="33" spans="1:9" ht="13.5" customHeight="1" x14ac:dyDescent="0.35">
      <c r="A33" s="26">
        <v>46201</v>
      </c>
      <c r="B33" s="27" t="s">
        <v>46</v>
      </c>
      <c r="C33" s="27" t="s">
        <v>16</v>
      </c>
      <c r="D33" s="28">
        <f>B8</f>
        <v>90</v>
      </c>
      <c r="E33" s="28">
        <f>B9</f>
        <v>25</v>
      </c>
      <c r="F33" s="28">
        <f>B10</f>
        <v>45</v>
      </c>
      <c r="G33" s="29">
        <v>0</v>
      </c>
      <c r="H33" s="28">
        <f t="shared" si="0"/>
        <v>160</v>
      </c>
      <c r="I33" s="30"/>
    </row>
    <row r="34" spans="1:9" ht="13.5" customHeight="1" x14ac:dyDescent="0.35">
      <c r="A34" s="31">
        <v>46202</v>
      </c>
      <c r="B34" s="32" t="s">
        <v>47</v>
      </c>
      <c r="C34" s="32" t="s">
        <v>16</v>
      </c>
      <c r="D34" s="33">
        <f>B8</f>
        <v>90</v>
      </c>
      <c r="E34" s="33">
        <f>B9</f>
        <v>25</v>
      </c>
      <c r="F34" s="33">
        <f>B10</f>
        <v>45</v>
      </c>
      <c r="G34" s="34">
        <v>0</v>
      </c>
      <c r="H34" s="33">
        <f t="shared" si="0"/>
        <v>160</v>
      </c>
      <c r="I34" s="35"/>
    </row>
    <row r="35" spans="1:9" ht="13.5" customHeight="1" x14ac:dyDescent="0.35">
      <c r="A35" s="26">
        <v>46203</v>
      </c>
      <c r="B35" s="27" t="s">
        <v>40</v>
      </c>
      <c r="C35" s="27" t="s">
        <v>16</v>
      </c>
      <c r="D35" s="28">
        <f>B8</f>
        <v>90</v>
      </c>
      <c r="E35" s="28">
        <f>B9</f>
        <v>25</v>
      </c>
      <c r="F35" s="28">
        <f>B10</f>
        <v>45</v>
      </c>
      <c r="G35" s="29">
        <v>0</v>
      </c>
      <c r="H35" s="28">
        <f t="shared" si="0"/>
        <v>160</v>
      </c>
      <c r="I35" s="30"/>
    </row>
    <row r="36" spans="1:9" ht="13.5" customHeight="1" x14ac:dyDescent="0.35">
      <c r="A36" s="31">
        <v>46204</v>
      </c>
      <c r="B36" s="32" t="s">
        <v>42</v>
      </c>
      <c r="C36" s="32" t="s">
        <v>16</v>
      </c>
      <c r="D36" s="33">
        <f>B8</f>
        <v>90</v>
      </c>
      <c r="E36" s="33">
        <f>B9</f>
        <v>25</v>
      </c>
      <c r="F36" s="33">
        <f>B10</f>
        <v>45</v>
      </c>
      <c r="G36" s="34">
        <v>0</v>
      </c>
      <c r="H36" s="33">
        <f t="shared" si="0"/>
        <v>160</v>
      </c>
      <c r="I36" s="35"/>
    </row>
    <row r="37" spans="1:9" ht="13.5" customHeight="1" x14ac:dyDescent="0.35">
      <c r="A37" s="26">
        <v>46205</v>
      </c>
      <c r="B37" s="27" t="s">
        <v>43</v>
      </c>
      <c r="C37" s="27" t="s">
        <v>16</v>
      </c>
      <c r="D37" s="28">
        <f>B8</f>
        <v>90</v>
      </c>
      <c r="E37" s="28">
        <f>B9</f>
        <v>25</v>
      </c>
      <c r="F37" s="28">
        <f>B10</f>
        <v>45</v>
      </c>
      <c r="G37" s="29">
        <v>0</v>
      </c>
      <c r="H37" s="28">
        <f t="shared" si="0"/>
        <v>160</v>
      </c>
      <c r="I37" s="30"/>
    </row>
    <row r="38" spans="1:9" ht="13.5" customHeight="1" x14ac:dyDescent="0.35">
      <c r="A38" s="31">
        <v>46206</v>
      </c>
      <c r="B38" s="32" t="s">
        <v>44</v>
      </c>
      <c r="C38" s="32" t="s">
        <v>16</v>
      </c>
      <c r="D38" s="33">
        <f>B8</f>
        <v>90</v>
      </c>
      <c r="E38" s="33">
        <f>B9</f>
        <v>25</v>
      </c>
      <c r="F38" s="33">
        <f>B10</f>
        <v>45</v>
      </c>
      <c r="G38" s="34">
        <v>0</v>
      </c>
      <c r="H38" s="33">
        <f t="shared" si="0"/>
        <v>160</v>
      </c>
      <c r="I38" s="35"/>
    </row>
    <row r="39" spans="1:9" ht="13.5" customHeight="1" x14ac:dyDescent="0.35">
      <c r="A39" s="26">
        <v>46207</v>
      </c>
      <c r="B39" s="27" t="s">
        <v>45</v>
      </c>
      <c r="C39" s="27" t="s">
        <v>16</v>
      </c>
      <c r="D39" s="28">
        <f>B8</f>
        <v>90</v>
      </c>
      <c r="E39" s="28">
        <f>B9</f>
        <v>25</v>
      </c>
      <c r="F39" s="28">
        <f>B10</f>
        <v>45</v>
      </c>
      <c r="G39" s="29">
        <v>0</v>
      </c>
      <c r="H39" s="28">
        <f t="shared" si="0"/>
        <v>160</v>
      </c>
      <c r="I39" s="30"/>
    </row>
    <row r="40" spans="1:9" ht="13.5" customHeight="1" x14ac:dyDescent="0.35">
      <c r="A40" s="31">
        <v>46208</v>
      </c>
      <c r="B40" s="32" t="s">
        <v>46</v>
      </c>
      <c r="C40" s="32" t="s">
        <v>16</v>
      </c>
      <c r="D40" s="33">
        <f>B8</f>
        <v>90</v>
      </c>
      <c r="E40" s="33">
        <f>B9</f>
        <v>25</v>
      </c>
      <c r="F40" s="33">
        <f>B10</f>
        <v>45</v>
      </c>
      <c r="G40" s="34">
        <v>0</v>
      </c>
      <c r="H40" s="33">
        <f t="shared" si="0"/>
        <v>160</v>
      </c>
      <c r="I40" s="35"/>
    </row>
    <row r="41" spans="1:9" ht="13.5" customHeight="1" x14ac:dyDescent="0.35">
      <c r="A41" s="26">
        <v>46209</v>
      </c>
      <c r="B41" s="27" t="s">
        <v>47</v>
      </c>
      <c r="C41" s="27" t="s">
        <v>16</v>
      </c>
      <c r="D41" s="28">
        <f>B8</f>
        <v>90</v>
      </c>
      <c r="E41" s="28">
        <f>B9</f>
        <v>25</v>
      </c>
      <c r="F41" s="28">
        <f>B10</f>
        <v>45</v>
      </c>
      <c r="G41" s="29">
        <v>0</v>
      </c>
      <c r="H41" s="28">
        <f t="shared" si="0"/>
        <v>160</v>
      </c>
      <c r="I41" s="30"/>
    </row>
    <row r="42" spans="1:9" ht="13.5" customHeight="1" x14ac:dyDescent="0.35">
      <c r="A42" s="31">
        <v>46210</v>
      </c>
      <c r="B42" s="32" t="s">
        <v>40</v>
      </c>
      <c r="C42" s="32" t="s">
        <v>16</v>
      </c>
      <c r="D42" s="33">
        <f>B8</f>
        <v>90</v>
      </c>
      <c r="E42" s="33">
        <f>B9</f>
        <v>25</v>
      </c>
      <c r="F42" s="33">
        <f>B10</f>
        <v>45</v>
      </c>
      <c r="G42" s="34">
        <v>0</v>
      </c>
      <c r="H42" s="33">
        <f t="shared" si="0"/>
        <v>160</v>
      </c>
      <c r="I42" s="35"/>
    </row>
    <row r="43" spans="1:9" ht="13.5" customHeight="1" x14ac:dyDescent="0.35">
      <c r="A43" s="26">
        <v>46211</v>
      </c>
      <c r="B43" s="27" t="s">
        <v>42</v>
      </c>
      <c r="C43" s="27" t="s">
        <v>16</v>
      </c>
      <c r="D43" s="28">
        <f>B8</f>
        <v>90</v>
      </c>
      <c r="E43" s="28">
        <f>B9</f>
        <v>25</v>
      </c>
      <c r="F43" s="28">
        <f>B10</f>
        <v>45</v>
      </c>
      <c r="G43" s="29">
        <v>0</v>
      </c>
      <c r="H43" s="28">
        <f t="shared" si="0"/>
        <v>160</v>
      </c>
      <c r="I43" s="30"/>
    </row>
    <row r="44" spans="1:9" ht="13.5" customHeight="1" x14ac:dyDescent="0.35">
      <c r="A44" s="31">
        <v>46212</v>
      </c>
      <c r="B44" s="32" t="s">
        <v>43</v>
      </c>
      <c r="C44" s="32" t="s">
        <v>16</v>
      </c>
      <c r="D44" s="33">
        <f>B8</f>
        <v>90</v>
      </c>
      <c r="E44" s="33">
        <f>B9</f>
        <v>25</v>
      </c>
      <c r="F44" s="33">
        <f>B10</f>
        <v>45</v>
      </c>
      <c r="G44" s="34">
        <v>0</v>
      </c>
      <c r="H44" s="33">
        <f t="shared" si="0"/>
        <v>160</v>
      </c>
      <c r="I44" s="35"/>
    </row>
    <row r="45" spans="1:9" ht="13.5" customHeight="1" x14ac:dyDescent="0.35">
      <c r="A45" s="26">
        <v>46213</v>
      </c>
      <c r="B45" s="27" t="s">
        <v>44</v>
      </c>
      <c r="C45" s="27" t="s">
        <v>16</v>
      </c>
      <c r="D45" s="28">
        <f>B8</f>
        <v>90</v>
      </c>
      <c r="E45" s="28">
        <f>B9</f>
        <v>25</v>
      </c>
      <c r="F45" s="28">
        <f>B10</f>
        <v>45</v>
      </c>
      <c r="G45" s="29">
        <v>0</v>
      </c>
      <c r="H45" s="28">
        <f t="shared" si="0"/>
        <v>160</v>
      </c>
      <c r="I45" s="30"/>
    </row>
    <row r="46" spans="1:9" ht="13.5" customHeight="1" x14ac:dyDescent="0.35">
      <c r="A46" s="31">
        <v>46214</v>
      </c>
      <c r="B46" s="32" t="s">
        <v>45</v>
      </c>
      <c r="C46" s="32" t="s">
        <v>16</v>
      </c>
      <c r="D46" s="33">
        <f>B8</f>
        <v>90</v>
      </c>
      <c r="E46" s="33">
        <f>B9</f>
        <v>25</v>
      </c>
      <c r="F46" s="33">
        <f>B10</f>
        <v>45</v>
      </c>
      <c r="G46" s="34">
        <v>0</v>
      </c>
      <c r="H46" s="33">
        <f t="shared" si="0"/>
        <v>160</v>
      </c>
      <c r="I46" s="35"/>
    </row>
    <row r="47" spans="1:9" ht="13.5" customHeight="1" x14ac:dyDescent="0.35">
      <c r="A47" s="26">
        <v>46215</v>
      </c>
      <c r="B47" s="27" t="s">
        <v>46</v>
      </c>
      <c r="C47" s="27" t="s">
        <v>16</v>
      </c>
      <c r="D47" s="28">
        <f>B8</f>
        <v>90</v>
      </c>
      <c r="E47" s="28">
        <f>B9</f>
        <v>25</v>
      </c>
      <c r="F47" s="28">
        <f>B10</f>
        <v>45</v>
      </c>
      <c r="G47" s="29">
        <v>0</v>
      </c>
      <c r="H47" s="28">
        <f t="shared" si="0"/>
        <v>160</v>
      </c>
      <c r="I47" s="30"/>
    </row>
    <row r="48" spans="1:9" ht="15.75" customHeight="1" x14ac:dyDescent="0.35">
      <c r="A48" s="3" t="s">
        <v>48</v>
      </c>
      <c r="B48" s="3"/>
      <c r="C48" s="3"/>
      <c r="D48" s="36">
        <f>SUM(D14:D27)</f>
        <v>700</v>
      </c>
      <c r="E48" s="36">
        <f>SUM(E14:E27)</f>
        <v>560</v>
      </c>
      <c r="F48" s="36">
        <f>SUM(F14:F27)</f>
        <v>210</v>
      </c>
      <c r="G48" s="36">
        <f>SUM(G14:G27)</f>
        <v>0</v>
      </c>
      <c r="H48" s="36">
        <f>SUM(H14:H27)</f>
        <v>1470</v>
      </c>
    </row>
    <row r="49" spans="1:9" ht="15.75" customHeight="1" x14ac:dyDescent="0.35">
      <c r="A49" s="2" t="s">
        <v>55</v>
      </c>
      <c r="B49" s="2"/>
      <c r="C49" s="2"/>
      <c r="D49" s="37">
        <f>SUM(D28:D47)</f>
        <v>1800</v>
      </c>
      <c r="E49" s="37">
        <f>SUM(E28:E47)</f>
        <v>500</v>
      </c>
      <c r="F49" s="37">
        <f>SUM(F28:F47)</f>
        <v>900</v>
      </c>
      <c r="G49" s="37">
        <f>SUM(G28:G47)</f>
        <v>0</v>
      </c>
      <c r="H49" s="37">
        <f>SUM(H28:H47)</f>
        <v>3200</v>
      </c>
    </row>
    <row r="50" spans="1:9" ht="19.5" customHeight="1" x14ac:dyDescent="0.35">
      <c r="A50" s="1" t="s">
        <v>14</v>
      </c>
      <c r="B50" s="1"/>
      <c r="C50" s="1"/>
      <c r="D50" s="38">
        <f>D48+D49</f>
        <v>2500</v>
      </c>
      <c r="E50" s="38">
        <f>E48+E49</f>
        <v>1060</v>
      </c>
      <c r="F50" s="38">
        <f>F48+F49</f>
        <v>1110</v>
      </c>
      <c r="G50" s="38">
        <f>G48+G49</f>
        <v>0</v>
      </c>
      <c r="H50" s="38">
        <f>H48+H49</f>
        <v>4670</v>
      </c>
    </row>
    <row r="52" spans="1:9" x14ac:dyDescent="0.35">
      <c r="A52" s="6" t="s">
        <v>50</v>
      </c>
      <c r="B52" s="6"/>
      <c r="C52" s="6"/>
      <c r="D52" s="6"/>
      <c r="E52" s="6"/>
      <c r="F52" s="6"/>
      <c r="G52" s="6"/>
      <c r="H52" s="6"/>
      <c r="I52" s="6"/>
    </row>
  </sheetData>
  <mergeCells count="7">
    <mergeCell ref="A50:C50"/>
    <mergeCell ref="A52:I52"/>
    <mergeCell ref="A1:I1"/>
    <mergeCell ref="A2:I2"/>
    <mergeCell ref="A4:I4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showGridLines="0" zoomScaleNormal="100" workbookViewId="0">
      <pane ySplit="13" topLeftCell="A14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5" customWidth="1"/>
    <col min="3" max="3" width="22" customWidth="1"/>
    <col min="4" max="4" width="11" customWidth="1"/>
    <col min="5" max="5" width="10" customWidth="1"/>
    <col min="6" max="6" width="11" customWidth="1"/>
    <col min="7" max="7" width="10" customWidth="1"/>
    <col min="8" max="8" width="13" customWidth="1"/>
    <col min="9" max="9" width="28" customWidth="1"/>
  </cols>
  <sheetData>
    <row r="1" spans="1:9" ht="24" customHeight="1" x14ac:dyDescent="0.35">
      <c r="A1" s="4" t="s">
        <v>56</v>
      </c>
      <c r="B1" s="4"/>
      <c r="C1" s="4"/>
      <c r="D1" s="4"/>
      <c r="E1" s="4"/>
      <c r="F1" s="4"/>
      <c r="G1" s="4"/>
      <c r="H1" s="4"/>
      <c r="I1" s="4"/>
    </row>
    <row r="2" spans="1:9" ht="12.75" customHeight="1" x14ac:dyDescent="0.35">
      <c r="A2" s="6" t="s">
        <v>22</v>
      </c>
      <c r="B2" s="6"/>
      <c r="C2" s="6"/>
      <c r="D2" s="6"/>
      <c r="E2" s="6"/>
      <c r="F2" s="6"/>
      <c r="G2" s="6"/>
      <c r="H2" s="6"/>
      <c r="I2" s="6"/>
    </row>
    <row r="3" spans="1:9" ht="6" customHeight="1" x14ac:dyDescent="0.35"/>
    <row r="4" spans="1:9" ht="15.75" customHeight="1" x14ac:dyDescent="0.35">
      <c r="A4" s="5" t="s">
        <v>23</v>
      </c>
      <c r="B4" s="5"/>
      <c r="C4" s="5"/>
      <c r="D4" s="5"/>
      <c r="E4" s="5"/>
      <c r="F4" s="5"/>
      <c r="G4" s="5"/>
      <c r="H4" s="5"/>
      <c r="I4" s="5"/>
    </row>
    <row r="5" spans="1:9" ht="13.5" customHeight="1" x14ac:dyDescent="0.35">
      <c r="A5" s="8" t="s">
        <v>24</v>
      </c>
      <c r="B5" s="9">
        <v>50</v>
      </c>
    </row>
    <row r="6" spans="1:9" ht="13.5" customHeight="1" x14ac:dyDescent="0.35">
      <c r="A6" s="8" t="s">
        <v>25</v>
      </c>
      <c r="B6" s="9">
        <v>40</v>
      </c>
    </row>
    <row r="7" spans="1:9" ht="13.5" customHeight="1" x14ac:dyDescent="0.35">
      <c r="A7" s="8" t="s">
        <v>26</v>
      </c>
      <c r="B7" s="9">
        <v>15</v>
      </c>
    </row>
    <row r="8" spans="1:9" ht="13.5" customHeight="1" x14ac:dyDescent="0.35">
      <c r="A8" s="8" t="s">
        <v>57</v>
      </c>
      <c r="B8" s="9">
        <v>75</v>
      </c>
    </row>
    <row r="9" spans="1:9" ht="13.5" customHeight="1" x14ac:dyDescent="0.35">
      <c r="A9" s="8" t="s">
        <v>58</v>
      </c>
      <c r="B9" s="9">
        <v>38</v>
      </c>
    </row>
    <row r="10" spans="1:9" ht="13.5" customHeight="1" x14ac:dyDescent="0.35">
      <c r="A10" s="8" t="s">
        <v>59</v>
      </c>
      <c r="B10" s="9">
        <v>35</v>
      </c>
    </row>
    <row r="11" spans="1:9" ht="13.5" customHeight="1" x14ac:dyDescent="0.35">
      <c r="A11" s="8" t="s">
        <v>30</v>
      </c>
      <c r="B11" s="9">
        <v>0</v>
      </c>
    </row>
    <row r="13" spans="1:9" ht="19.5" customHeight="1" x14ac:dyDescent="0.35">
      <c r="A13" s="10" t="s">
        <v>31</v>
      </c>
      <c r="B13" s="10" t="s">
        <v>32</v>
      </c>
      <c r="C13" s="10" t="s">
        <v>33</v>
      </c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</row>
    <row r="14" spans="1:9" ht="13.5" customHeight="1" x14ac:dyDescent="0.35">
      <c r="A14" s="21">
        <v>46182</v>
      </c>
      <c r="B14" s="22" t="s">
        <v>40</v>
      </c>
      <c r="C14" s="22" t="s">
        <v>41</v>
      </c>
      <c r="D14" s="23">
        <f>B5</f>
        <v>50</v>
      </c>
      <c r="E14" s="23">
        <f>B6</f>
        <v>40</v>
      </c>
      <c r="F14" s="23">
        <f>B7</f>
        <v>15</v>
      </c>
      <c r="G14" s="24">
        <v>0</v>
      </c>
      <c r="H14" s="23">
        <f t="shared" ref="H14:H47" si="0">D14+E14+F14+G14</f>
        <v>105</v>
      </c>
      <c r="I14" s="25"/>
    </row>
    <row r="15" spans="1:9" ht="13.5" customHeight="1" x14ac:dyDescent="0.35">
      <c r="A15" s="26">
        <v>46183</v>
      </c>
      <c r="B15" s="27" t="s">
        <v>42</v>
      </c>
      <c r="C15" s="27" t="s">
        <v>41</v>
      </c>
      <c r="D15" s="28">
        <f>B5</f>
        <v>50</v>
      </c>
      <c r="E15" s="28">
        <f>B6</f>
        <v>40</v>
      </c>
      <c r="F15" s="28">
        <f>B7</f>
        <v>15</v>
      </c>
      <c r="G15" s="29">
        <v>0</v>
      </c>
      <c r="H15" s="28">
        <f t="shared" si="0"/>
        <v>105</v>
      </c>
      <c r="I15" s="30"/>
    </row>
    <row r="16" spans="1:9" ht="13.5" customHeight="1" x14ac:dyDescent="0.35">
      <c r="A16" s="21">
        <v>46184</v>
      </c>
      <c r="B16" s="22" t="s">
        <v>43</v>
      </c>
      <c r="C16" s="22" t="s">
        <v>41</v>
      </c>
      <c r="D16" s="23">
        <f>B5</f>
        <v>50</v>
      </c>
      <c r="E16" s="23">
        <f>B6</f>
        <v>40</v>
      </c>
      <c r="F16" s="23">
        <f>B7</f>
        <v>15</v>
      </c>
      <c r="G16" s="24">
        <v>0</v>
      </c>
      <c r="H16" s="23">
        <f t="shared" si="0"/>
        <v>105</v>
      </c>
      <c r="I16" s="25"/>
    </row>
    <row r="17" spans="1:9" ht="13.5" customHeight="1" x14ac:dyDescent="0.35">
      <c r="A17" s="26">
        <v>46185</v>
      </c>
      <c r="B17" s="27" t="s">
        <v>44</v>
      </c>
      <c r="C17" s="27" t="s">
        <v>41</v>
      </c>
      <c r="D17" s="28">
        <f>B5</f>
        <v>50</v>
      </c>
      <c r="E17" s="28">
        <f>B6</f>
        <v>40</v>
      </c>
      <c r="F17" s="28">
        <f>B7</f>
        <v>15</v>
      </c>
      <c r="G17" s="29">
        <v>0</v>
      </c>
      <c r="H17" s="28">
        <f t="shared" si="0"/>
        <v>105</v>
      </c>
      <c r="I17" s="30"/>
    </row>
    <row r="18" spans="1:9" ht="13.5" customHeight="1" x14ac:dyDescent="0.35">
      <c r="A18" s="21">
        <v>46186</v>
      </c>
      <c r="B18" s="22" t="s">
        <v>45</v>
      </c>
      <c r="C18" s="22" t="s">
        <v>41</v>
      </c>
      <c r="D18" s="23">
        <f>B5</f>
        <v>50</v>
      </c>
      <c r="E18" s="23">
        <f>B6</f>
        <v>40</v>
      </c>
      <c r="F18" s="23">
        <f>B7</f>
        <v>15</v>
      </c>
      <c r="G18" s="24">
        <v>0</v>
      </c>
      <c r="H18" s="23">
        <f t="shared" si="0"/>
        <v>105</v>
      </c>
      <c r="I18" s="25"/>
    </row>
    <row r="19" spans="1:9" ht="13.5" customHeight="1" x14ac:dyDescent="0.35">
      <c r="A19" s="26">
        <v>46187</v>
      </c>
      <c r="B19" s="27" t="s">
        <v>46</v>
      </c>
      <c r="C19" s="27" t="s">
        <v>41</v>
      </c>
      <c r="D19" s="28">
        <f>B5</f>
        <v>50</v>
      </c>
      <c r="E19" s="28">
        <f>B6</f>
        <v>40</v>
      </c>
      <c r="F19" s="28">
        <f>B7</f>
        <v>15</v>
      </c>
      <c r="G19" s="29">
        <v>0</v>
      </c>
      <c r="H19" s="28">
        <f t="shared" si="0"/>
        <v>105</v>
      </c>
      <c r="I19" s="30"/>
    </row>
    <row r="20" spans="1:9" ht="13.5" customHeight="1" x14ac:dyDescent="0.35">
      <c r="A20" s="21">
        <v>46188</v>
      </c>
      <c r="B20" s="22" t="s">
        <v>47</v>
      </c>
      <c r="C20" s="22" t="s">
        <v>41</v>
      </c>
      <c r="D20" s="23">
        <f>B5</f>
        <v>50</v>
      </c>
      <c r="E20" s="23">
        <f>B6</f>
        <v>40</v>
      </c>
      <c r="F20" s="23">
        <f>B7</f>
        <v>15</v>
      </c>
      <c r="G20" s="24">
        <v>0</v>
      </c>
      <c r="H20" s="23">
        <f t="shared" si="0"/>
        <v>105</v>
      </c>
      <c r="I20" s="25"/>
    </row>
    <row r="21" spans="1:9" ht="13.5" customHeight="1" x14ac:dyDescent="0.35">
      <c r="A21" s="26">
        <v>46189</v>
      </c>
      <c r="B21" s="27" t="s">
        <v>40</v>
      </c>
      <c r="C21" s="27" t="s">
        <v>41</v>
      </c>
      <c r="D21" s="28">
        <f>B5</f>
        <v>50</v>
      </c>
      <c r="E21" s="28">
        <f>B6</f>
        <v>40</v>
      </c>
      <c r="F21" s="28">
        <f>B7</f>
        <v>15</v>
      </c>
      <c r="G21" s="29">
        <v>0</v>
      </c>
      <c r="H21" s="28">
        <f t="shared" si="0"/>
        <v>105</v>
      </c>
      <c r="I21" s="30"/>
    </row>
    <row r="22" spans="1:9" ht="13.5" customHeight="1" x14ac:dyDescent="0.35">
      <c r="A22" s="21">
        <v>46190</v>
      </c>
      <c r="B22" s="22" t="s">
        <v>42</v>
      </c>
      <c r="C22" s="22" t="s">
        <v>41</v>
      </c>
      <c r="D22" s="23">
        <f>B5</f>
        <v>50</v>
      </c>
      <c r="E22" s="23">
        <f>B6</f>
        <v>40</v>
      </c>
      <c r="F22" s="23">
        <f>B7</f>
        <v>15</v>
      </c>
      <c r="G22" s="24">
        <v>0</v>
      </c>
      <c r="H22" s="23">
        <f t="shared" si="0"/>
        <v>105</v>
      </c>
      <c r="I22" s="25"/>
    </row>
    <row r="23" spans="1:9" ht="13.5" customHeight="1" x14ac:dyDescent="0.35">
      <c r="A23" s="26">
        <v>46191</v>
      </c>
      <c r="B23" s="27" t="s">
        <v>43</v>
      </c>
      <c r="C23" s="27" t="s">
        <v>41</v>
      </c>
      <c r="D23" s="28">
        <f>B5</f>
        <v>50</v>
      </c>
      <c r="E23" s="28">
        <f>B6</f>
        <v>40</v>
      </c>
      <c r="F23" s="28">
        <f>B7</f>
        <v>15</v>
      </c>
      <c r="G23" s="29">
        <v>0</v>
      </c>
      <c r="H23" s="28">
        <f t="shared" si="0"/>
        <v>105</v>
      </c>
      <c r="I23" s="30"/>
    </row>
    <row r="24" spans="1:9" ht="13.5" customHeight="1" x14ac:dyDescent="0.35">
      <c r="A24" s="21">
        <v>46192</v>
      </c>
      <c r="B24" s="22" t="s">
        <v>44</v>
      </c>
      <c r="C24" s="22" t="s">
        <v>41</v>
      </c>
      <c r="D24" s="23">
        <f>B5</f>
        <v>50</v>
      </c>
      <c r="E24" s="23">
        <f>B6</f>
        <v>40</v>
      </c>
      <c r="F24" s="23">
        <f>B7</f>
        <v>15</v>
      </c>
      <c r="G24" s="24">
        <v>0</v>
      </c>
      <c r="H24" s="23">
        <f t="shared" si="0"/>
        <v>105</v>
      </c>
      <c r="I24" s="25"/>
    </row>
    <row r="25" spans="1:9" ht="13.5" customHeight="1" x14ac:dyDescent="0.35">
      <c r="A25" s="26">
        <v>46193</v>
      </c>
      <c r="B25" s="27" t="s">
        <v>45</v>
      </c>
      <c r="C25" s="27" t="s">
        <v>41</v>
      </c>
      <c r="D25" s="28">
        <f>B5</f>
        <v>50</v>
      </c>
      <c r="E25" s="28">
        <f>B6</f>
        <v>40</v>
      </c>
      <c r="F25" s="28">
        <f>B7</f>
        <v>15</v>
      </c>
      <c r="G25" s="29">
        <v>0</v>
      </c>
      <c r="H25" s="28">
        <f t="shared" si="0"/>
        <v>105</v>
      </c>
      <c r="I25" s="30"/>
    </row>
    <row r="26" spans="1:9" ht="13.5" customHeight="1" x14ac:dyDescent="0.35">
      <c r="A26" s="21">
        <v>46194</v>
      </c>
      <c r="B26" s="22" t="s">
        <v>46</v>
      </c>
      <c r="C26" s="22" t="s">
        <v>41</v>
      </c>
      <c r="D26" s="23">
        <f>B5</f>
        <v>50</v>
      </c>
      <c r="E26" s="23">
        <f>B6</f>
        <v>40</v>
      </c>
      <c r="F26" s="23">
        <f>B7</f>
        <v>15</v>
      </c>
      <c r="G26" s="24">
        <v>0</v>
      </c>
      <c r="H26" s="23">
        <f t="shared" si="0"/>
        <v>105</v>
      </c>
      <c r="I26" s="25"/>
    </row>
    <row r="27" spans="1:9" ht="13.5" customHeight="1" x14ac:dyDescent="0.35">
      <c r="A27" s="26">
        <v>46195</v>
      </c>
      <c r="B27" s="27" t="s">
        <v>47</v>
      </c>
      <c r="C27" s="27" t="s">
        <v>41</v>
      </c>
      <c r="D27" s="28">
        <f>B5</f>
        <v>50</v>
      </c>
      <c r="E27" s="28">
        <f>B6</f>
        <v>40</v>
      </c>
      <c r="F27" s="28">
        <f>B7</f>
        <v>15</v>
      </c>
      <c r="G27" s="29">
        <v>0</v>
      </c>
      <c r="H27" s="28">
        <f t="shared" si="0"/>
        <v>105</v>
      </c>
      <c r="I27" s="30"/>
    </row>
    <row r="28" spans="1:9" ht="13.5" customHeight="1" x14ac:dyDescent="0.35">
      <c r="A28" s="31">
        <v>46196</v>
      </c>
      <c r="B28" s="32" t="s">
        <v>40</v>
      </c>
      <c r="C28" s="32" t="s">
        <v>17</v>
      </c>
      <c r="D28" s="33">
        <f>B8</f>
        <v>75</v>
      </c>
      <c r="E28" s="33">
        <f>B9</f>
        <v>38</v>
      </c>
      <c r="F28" s="33">
        <f>B10</f>
        <v>35</v>
      </c>
      <c r="G28" s="34">
        <v>0</v>
      </c>
      <c r="H28" s="33">
        <f t="shared" si="0"/>
        <v>148</v>
      </c>
      <c r="I28" s="35"/>
    </row>
    <row r="29" spans="1:9" ht="13.5" customHeight="1" x14ac:dyDescent="0.35">
      <c r="A29" s="26">
        <v>46197</v>
      </c>
      <c r="B29" s="27" t="s">
        <v>42</v>
      </c>
      <c r="C29" s="27" t="s">
        <v>17</v>
      </c>
      <c r="D29" s="28">
        <f>B8</f>
        <v>75</v>
      </c>
      <c r="E29" s="28">
        <f>B9</f>
        <v>38</v>
      </c>
      <c r="F29" s="28">
        <f>B10</f>
        <v>35</v>
      </c>
      <c r="G29" s="29">
        <v>0</v>
      </c>
      <c r="H29" s="28">
        <f t="shared" si="0"/>
        <v>148</v>
      </c>
      <c r="I29" s="30"/>
    </row>
    <row r="30" spans="1:9" ht="13.5" customHeight="1" x14ac:dyDescent="0.35">
      <c r="A30" s="31">
        <v>46198</v>
      </c>
      <c r="B30" s="32" t="s">
        <v>43</v>
      </c>
      <c r="C30" s="32" t="s">
        <v>17</v>
      </c>
      <c r="D30" s="33">
        <f>B8</f>
        <v>75</v>
      </c>
      <c r="E30" s="33">
        <f>B9</f>
        <v>38</v>
      </c>
      <c r="F30" s="33">
        <f>B10</f>
        <v>35</v>
      </c>
      <c r="G30" s="34">
        <v>0</v>
      </c>
      <c r="H30" s="33">
        <f t="shared" si="0"/>
        <v>148</v>
      </c>
      <c r="I30" s="35"/>
    </row>
    <row r="31" spans="1:9" ht="13.5" customHeight="1" x14ac:dyDescent="0.35">
      <c r="A31" s="26">
        <v>46199</v>
      </c>
      <c r="B31" s="27" t="s">
        <v>44</v>
      </c>
      <c r="C31" s="27" t="s">
        <v>17</v>
      </c>
      <c r="D31" s="28">
        <f>B8</f>
        <v>75</v>
      </c>
      <c r="E31" s="28">
        <f>B9</f>
        <v>38</v>
      </c>
      <c r="F31" s="28">
        <f>B10</f>
        <v>35</v>
      </c>
      <c r="G31" s="29">
        <v>0</v>
      </c>
      <c r="H31" s="28">
        <f t="shared" si="0"/>
        <v>148</v>
      </c>
      <c r="I31" s="30"/>
    </row>
    <row r="32" spans="1:9" ht="13.5" customHeight="1" x14ac:dyDescent="0.35">
      <c r="A32" s="31">
        <v>46200</v>
      </c>
      <c r="B32" s="32" t="s">
        <v>45</v>
      </c>
      <c r="C32" s="32" t="s">
        <v>17</v>
      </c>
      <c r="D32" s="33">
        <f>B8</f>
        <v>75</v>
      </c>
      <c r="E32" s="33">
        <f>B9</f>
        <v>38</v>
      </c>
      <c r="F32" s="33">
        <f>B10</f>
        <v>35</v>
      </c>
      <c r="G32" s="34">
        <v>0</v>
      </c>
      <c r="H32" s="33">
        <f t="shared" si="0"/>
        <v>148</v>
      </c>
      <c r="I32" s="35"/>
    </row>
    <row r="33" spans="1:9" ht="13.5" customHeight="1" x14ac:dyDescent="0.35">
      <c r="A33" s="26">
        <v>46201</v>
      </c>
      <c r="B33" s="27" t="s">
        <v>46</v>
      </c>
      <c r="C33" s="27" t="s">
        <v>17</v>
      </c>
      <c r="D33" s="28">
        <f>B8</f>
        <v>75</v>
      </c>
      <c r="E33" s="28">
        <f>B9</f>
        <v>38</v>
      </c>
      <c r="F33" s="28">
        <f>B10</f>
        <v>35</v>
      </c>
      <c r="G33" s="29">
        <v>0</v>
      </c>
      <c r="H33" s="28">
        <f t="shared" si="0"/>
        <v>148</v>
      </c>
      <c r="I33" s="30"/>
    </row>
    <row r="34" spans="1:9" ht="13.5" customHeight="1" x14ac:dyDescent="0.35">
      <c r="A34" s="31">
        <v>46202</v>
      </c>
      <c r="B34" s="32" t="s">
        <v>47</v>
      </c>
      <c r="C34" s="32" t="s">
        <v>17</v>
      </c>
      <c r="D34" s="33">
        <f>B8</f>
        <v>75</v>
      </c>
      <c r="E34" s="33">
        <f>B9</f>
        <v>38</v>
      </c>
      <c r="F34" s="33">
        <f>B10</f>
        <v>35</v>
      </c>
      <c r="G34" s="34">
        <v>0</v>
      </c>
      <c r="H34" s="33">
        <f t="shared" si="0"/>
        <v>148</v>
      </c>
      <c r="I34" s="35"/>
    </row>
    <row r="35" spans="1:9" ht="13.5" customHeight="1" x14ac:dyDescent="0.35">
      <c r="A35" s="26">
        <v>46203</v>
      </c>
      <c r="B35" s="27" t="s">
        <v>40</v>
      </c>
      <c r="C35" s="27" t="s">
        <v>17</v>
      </c>
      <c r="D35" s="28">
        <f>B8</f>
        <v>75</v>
      </c>
      <c r="E35" s="28">
        <f>B9</f>
        <v>38</v>
      </c>
      <c r="F35" s="28">
        <f>B10</f>
        <v>35</v>
      </c>
      <c r="G35" s="29">
        <v>0</v>
      </c>
      <c r="H35" s="28">
        <f t="shared" si="0"/>
        <v>148</v>
      </c>
      <c r="I35" s="30"/>
    </row>
    <row r="36" spans="1:9" ht="13.5" customHeight="1" x14ac:dyDescent="0.35">
      <c r="A36" s="31">
        <v>46204</v>
      </c>
      <c r="B36" s="32" t="s">
        <v>42</v>
      </c>
      <c r="C36" s="32" t="s">
        <v>17</v>
      </c>
      <c r="D36" s="33">
        <f>B8</f>
        <v>75</v>
      </c>
      <c r="E36" s="33">
        <f>B9</f>
        <v>38</v>
      </c>
      <c r="F36" s="33">
        <f>B10</f>
        <v>35</v>
      </c>
      <c r="G36" s="34">
        <v>0</v>
      </c>
      <c r="H36" s="33">
        <f t="shared" si="0"/>
        <v>148</v>
      </c>
      <c r="I36" s="35"/>
    </row>
    <row r="37" spans="1:9" ht="13.5" customHeight="1" x14ac:dyDescent="0.35">
      <c r="A37" s="26">
        <v>46205</v>
      </c>
      <c r="B37" s="27" t="s">
        <v>43</v>
      </c>
      <c r="C37" s="27" t="s">
        <v>17</v>
      </c>
      <c r="D37" s="28">
        <f>B8</f>
        <v>75</v>
      </c>
      <c r="E37" s="28">
        <f>B9</f>
        <v>38</v>
      </c>
      <c r="F37" s="28">
        <f>B10</f>
        <v>35</v>
      </c>
      <c r="G37" s="29">
        <v>0</v>
      </c>
      <c r="H37" s="28">
        <f t="shared" si="0"/>
        <v>148</v>
      </c>
      <c r="I37" s="30"/>
    </row>
    <row r="38" spans="1:9" ht="13.5" customHeight="1" x14ac:dyDescent="0.35">
      <c r="A38" s="31">
        <v>46206</v>
      </c>
      <c r="B38" s="32" t="s">
        <v>44</v>
      </c>
      <c r="C38" s="32" t="s">
        <v>17</v>
      </c>
      <c r="D38" s="33">
        <f>B8</f>
        <v>75</v>
      </c>
      <c r="E38" s="33">
        <f>B9</f>
        <v>38</v>
      </c>
      <c r="F38" s="33">
        <f>B10</f>
        <v>35</v>
      </c>
      <c r="G38" s="34">
        <v>0</v>
      </c>
      <c r="H38" s="33">
        <f t="shared" si="0"/>
        <v>148</v>
      </c>
      <c r="I38" s="35"/>
    </row>
    <row r="39" spans="1:9" ht="13.5" customHeight="1" x14ac:dyDescent="0.35">
      <c r="A39" s="26">
        <v>46207</v>
      </c>
      <c r="B39" s="27" t="s">
        <v>45</v>
      </c>
      <c r="C39" s="27" t="s">
        <v>17</v>
      </c>
      <c r="D39" s="28">
        <f>B8</f>
        <v>75</v>
      </c>
      <c r="E39" s="28">
        <f>B9</f>
        <v>38</v>
      </c>
      <c r="F39" s="28">
        <f>B10</f>
        <v>35</v>
      </c>
      <c r="G39" s="29">
        <v>0</v>
      </c>
      <c r="H39" s="28">
        <f t="shared" si="0"/>
        <v>148</v>
      </c>
      <c r="I39" s="30"/>
    </row>
    <row r="40" spans="1:9" ht="13.5" customHeight="1" x14ac:dyDescent="0.35">
      <c r="A40" s="31">
        <v>46208</v>
      </c>
      <c r="B40" s="32" t="s">
        <v>46</v>
      </c>
      <c r="C40" s="32" t="s">
        <v>17</v>
      </c>
      <c r="D40" s="33">
        <f>B8</f>
        <v>75</v>
      </c>
      <c r="E40" s="33">
        <f>B9</f>
        <v>38</v>
      </c>
      <c r="F40" s="33">
        <f>B10</f>
        <v>35</v>
      </c>
      <c r="G40" s="34">
        <v>0</v>
      </c>
      <c r="H40" s="33">
        <f t="shared" si="0"/>
        <v>148</v>
      </c>
      <c r="I40" s="35"/>
    </row>
    <row r="41" spans="1:9" ht="13.5" customHeight="1" x14ac:dyDescent="0.35">
      <c r="A41" s="26">
        <v>46209</v>
      </c>
      <c r="B41" s="27" t="s">
        <v>47</v>
      </c>
      <c r="C41" s="27" t="s">
        <v>17</v>
      </c>
      <c r="D41" s="28">
        <f>B8</f>
        <v>75</v>
      </c>
      <c r="E41" s="28">
        <f>B9</f>
        <v>38</v>
      </c>
      <c r="F41" s="28">
        <f>B10</f>
        <v>35</v>
      </c>
      <c r="G41" s="29">
        <v>0</v>
      </c>
      <c r="H41" s="28">
        <f t="shared" si="0"/>
        <v>148</v>
      </c>
      <c r="I41" s="30"/>
    </row>
    <row r="42" spans="1:9" ht="13.5" customHeight="1" x14ac:dyDescent="0.35">
      <c r="A42" s="31">
        <v>46210</v>
      </c>
      <c r="B42" s="32" t="s">
        <v>40</v>
      </c>
      <c r="C42" s="32" t="s">
        <v>17</v>
      </c>
      <c r="D42" s="33">
        <f>B8</f>
        <v>75</v>
      </c>
      <c r="E42" s="33">
        <f>B9</f>
        <v>38</v>
      </c>
      <c r="F42" s="33">
        <f>B10</f>
        <v>35</v>
      </c>
      <c r="G42" s="34">
        <v>0</v>
      </c>
      <c r="H42" s="33">
        <f t="shared" si="0"/>
        <v>148</v>
      </c>
      <c r="I42" s="35"/>
    </row>
    <row r="43" spans="1:9" ht="13.5" customHeight="1" x14ac:dyDescent="0.35">
      <c r="A43" s="26">
        <v>46211</v>
      </c>
      <c r="B43" s="27" t="s">
        <v>42</v>
      </c>
      <c r="C43" s="27" t="s">
        <v>17</v>
      </c>
      <c r="D43" s="28">
        <f>B8</f>
        <v>75</v>
      </c>
      <c r="E43" s="28">
        <f>B9</f>
        <v>38</v>
      </c>
      <c r="F43" s="28">
        <f>B10</f>
        <v>35</v>
      </c>
      <c r="G43" s="29">
        <v>0</v>
      </c>
      <c r="H43" s="28">
        <f t="shared" si="0"/>
        <v>148</v>
      </c>
      <c r="I43" s="30"/>
    </row>
    <row r="44" spans="1:9" ht="13.5" customHeight="1" x14ac:dyDescent="0.35">
      <c r="A44" s="31">
        <v>46212</v>
      </c>
      <c r="B44" s="32" t="s">
        <v>43</v>
      </c>
      <c r="C44" s="32" t="s">
        <v>17</v>
      </c>
      <c r="D44" s="33">
        <f>B8</f>
        <v>75</v>
      </c>
      <c r="E44" s="33">
        <f>B9</f>
        <v>38</v>
      </c>
      <c r="F44" s="33">
        <f>B10</f>
        <v>35</v>
      </c>
      <c r="G44" s="34">
        <v>0</v>
      </c>
      <c r="H44" s="33">
        <f t="shared" si="0"/>
        <v>148</v>
      </c>
      <c r="I44" s="35"/>
    </row>
    <row r="45" spans="1:9" ht="13.5" customHeight="1" x14ac:dyDescent="0.35">
      <c r="A45" s="26">
        <v>46213</v>
      </c>
      <c r="B45" s="27" t="s">
        <v>44</v>
      </c>
      <c r="C45" s="27" t="s">
        <v>17</v>
      </c>
      <c r="D45" s="28">
        <f>B8</f>
        <v>75</v>
      </c>
      <c r="E45" s="28">
        <f>B9</f>
        <v>38</v>
      </c>
      <c r="F45" s="28">
        <f>B10</f>
        <v>35</v>
      </c>
      <c r="G45" s="29">
        <v>0</v>
      </c>
      <c r="H45" s="28">
        <f t="shared" si="0"/>
        <v>148</v>
      </c>
      <c r="I45" s="30"/>
    </row>
    <row r="46" spans="1:9" ht="13.5" customHeight="1" x14ac:dyDescent="0.35">
      <c r="A46" s="31">
        <v>46214</v>
      </c>
      <c r="B46" s="32" t="s">
        <v>45</v>
      </c>
      <c r="C46" s="32" t="s">
        <v>17</v>
      </c>
      <c r="D46" s="33">
        <f>B8</f>
        <v>75</v>
      </c>
      <c r="E46" s="33">
        <f>B9</f>
        <v>38</v>
      </c>
      <c r="F46" s="33">
        <f>B10</f>
        <v>35</v>
      </c>
      <c r="G46" s="34">
        <v>0</v>
      </c>
      <c r="H46" s="33">
        <f t="shared" si="0"/>
        <v>148</v>
      </c>
      <c r="I46" s="35"/>
    </row>
    <row r="47" spans="1:9" ht="13.5" customHeight="1" x14ac:dyDescent="0.35">
      <c r="A47" s="26">
        <v>46215</v>
      </c>
      <c r="B47" s="27" t="s">
        <v>46</v>
      </c>
      <c r="C47" s="27" t="s">
        <v>17</v>
      </c>
      <c r="D47" s="28">
        <f>B8</f>
        <v>75</v>
      </c>
      <c r="E47" s="28">
        <f>B9</f>
        <v>38</v>
      </c>
      <c r="F47" s="28">
        <f>B10</f>
        <v>35</v>
      </c>
      <c r="G47" s="29">
        <v>0</v>
      </c>
      <c r="H47" s="28">
        <f t="shared" si="0"/>
        <v>148</v>
      </c>
      <c r="I47" s="30"/>
    </row>
    <row r="48" spans="1:9" ht="15.75" customHeight="1" x14ac:dyDescent="0.35">
      <c r="A48" s="3" t="s">
        <v>48</v>
      </c>
      <c r="B48" s="3"/>
      <c r="C48" s="3"/>
      <c r="D48" s="36">
        <f>SUM(D14:D27)</f>
        <v>700</v>
      </c>
      <c r="E48" s="36">
        <f>SUM(E14:E27)</f>
        <v>560</v>
      </c>
      <c r="F48" s="36">
        <f>SUM(F14:F27)</f>
        <v>210</v>
      </c>
      <c r="G48" s="36">
        <f>SUM(G14:G27)</f>
        <v>0</v>
      </c>
      <c r="H48" s="36">
        <f>SUM(H14:H27)</f>
        <v>1470</v>
      </c>
    </row>
    <row r="49" spans="1:9" ht="15.75" customHeight="1" x14ac:dyDescent="0.35">
      <c r="A49" s="2" t="s">
        <v>60</v>
      </c>
      <c r="B49" s="2"/>
      <c r="C49" s="2"/>
      <c r="D49" s="37">
        <f>SUM(D28:D47)</f>
        <v>1500</v>
      </c>
      <c r="E49" s="37">
        <f>SUM(E28:E47)</f>
        <v>760</v>
      </c>
      <c r="F49" s="37">
        <f>SUM(F28:F47)</f>
        <v>700</v>
      </c>
      <c r="G49" s="37">
        <f>SUM(G28:G47)</f>
        <v>0</v>
      </c>
      <c r="H49" s="37">
        <f>SUM(H28:H47)</f>
        <v>2960</v>
      </c>
    </row>
    <row r="50" spans="1:9" ht="19.5" customHeight="1" x14ac:dyDescent="0.35">
      <c r="A50" s="1" t="s">
        <v>14</v>
      </c>
      <c r="B50" s="1"/>
      <c r="C50" s="1"/>
      <c r="D50" s="38">
        <f>D48+D49</f>
        <v>2200</v>
      </c>
      <c r="E50" s="38">
        <f>E48+E49</f>
        <v>1320</v>
      </c>
      <c r="F50" s="38">
        <f>F48+F49</f>
        <v>910</v>
      </c>
      <c r="G50" s="38">
        <f>G48+G49</f>
        <v>0</v>
      </c>
      <c r="H50" s="38">
        <f>H48+H49</f>
        <v>4430</v>
      </c>
    </row>
    <row r="52" spans="1:9" x14ac:dyDescent="0.35">
      <c r="A52" s="6" t="s">
        <v>50</v>
      </c>
      <c r="B52" s="6"/>
      <c r="C52" s="6"/>
      <c r="D52" s="6"/>
      <c r="E52" s="6"/>
      <c r="F52" s="6"/>
      <c r="G52" s="6"/>
      <c r="H52" s="6"/>
      <c r="I52" s="6"/>
    </row>
  </sheetData>
  <mergeCells count="7">
    <mergeCell ref="A50:C50"/>
    <mergeCell ref="A52:I52"/>
    <mergeCell ref="A1:I1"/>
    <mergeCell ref="A2:I2"/>
    <mergeCell ref="A4:I4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showGridLines="0" zoomScaleNormal="100" workbookViewId="0">
      <pane ySplit="13" topLeftCell="A14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5" customWidth="1"/>
    <col min="3" max="3" width="22" customWidth="1"/>
    <col min="4" max="4" width="11" customWidth="1"/>
    <col min="5" max="5" width="10" customWidth="1"/>
    <col min="6" max="6" width="11" customWidth="1"/>
    <col min="7" max="7" width="10" customWidth="1"/>
    <col min="8" max="8" width="13" customWidth="1"/>
    <col min="9" max="9" width="28" customWidth="1"/>
  </cols>
  <sheetData>
    <row r="1" spans="1:9" ht="24" customHeight="1" x14ac:dyDescent="0.35">
      <c r="A1" s="4" t="s">
        <v>61</v>
      </c>
      <c r="B1" s="4"/>
      <c r="C1" s="4"/>
      <c r="D1" s="4"/>
      <c r="E1" s="4"/>
      <c r="F1" s="4"/>
      <c r="G1" s="4"/>
      <c r="H1" s="4"/>
      <c r="I1" s="4"/>
    </row>
    <row r="2" spans="1:9" ht="12.75" customHeight="1" x14ac:dyDescent="0.35">
      <c r="A2" s="6" t="s">
        <v>22</v>
      </c>
      <c r="B2" s="6"/>
      <c r="C2" s="6"/>
      <c r="D2" s="6"/>
      <c r="E2" s="6"/>
      <c r="F2" s="6"/>
      <c r="G2" s="6"/>
      <c r="H2" s="6"/>
      <c r="I2" s="6"/>
    </row>
    <row r="3" spans="1:9" ht="6" customHeight="1" x14ac:dyDescent="0.35"/>
    <row r="4" spans="1:9" ht="15.75" customHeight="1" x14ac:dyDescent="0.35">
      <c r="A4" s="5" t="s">
        <v>23</v>
      </c>
      <c r="B4" s="5"/>
      <c r="C4" s="5"/>
      <c r="D4" s="5"/>
      <c r="E4" s="5"/>
      <c r="F4" s="5"/>
      <c r="G4" s="5"/>
      <c r="H4" s="5"/>
      <c r="I4" s="5"/>
    </row>
    <row r="5" spans="1:9" ht="13.5" customHeight="1" x14ac:dyDescent="0.35">
      <c r="A5" s="8" t="s">
        <v>24</v>
      </c>
      <c r="B5" s="9">
        <v>50</v>
      </c>
    </row>
    <row r="6" spans="1:9" ht="13.5" customHeight="1" x14ac:dyDescent="0.35">
      <c r="A6" s="8" t="s">
        <v>25</v>
      </c>
      <c r="B6" s="9">
        <v>40</v>
      </c>
    </row>
    <row r="7" spans="1:9" ht="13.5" customHeight="1" x14ac:dyDescent="0.35">
      <c r="A7" s="8" t="s">
        <v>26</v>
      </c>
      <c r="B7" s="9">
        <v>15</v>
      </c>
    </row>
    <row r="8" spans="1:9" ht="13.5" customHeight="1" x14ac:dyDescent="0.35">
      <c r="A8" s="8" t="s">
        <v>62</v>
      </c>
      <c r="B8" s="9">
        <v>88</v>
      </c>
    </row>
    <row r="9" spans="1:9" ht="13.5" customHeight="1" x14ac:dyDescent="0.35">
      <c r="A9" s="8" t="s">
        <v>63</v>
      </c>
      <c r="B9" s="9">
        <v>32</v>
      </c>
    </row>
    <row r="10" spans="1:9" ht="13.5" customHeight="1" x14ac:dyDescent="0.35">
      <c r="A10" s="8" t="s">
        <v>64</v>
      </c>
      <c r="B10" s="9">
        <v>38</v>
      </c>
    </row>
    <row r="11" spans="1:9" ht="13.5" customHeight="1" x14ac:dyDescent="0.35">
      <c r="A11" s="8" t="s">
        <v>30</v>
      </c>
      <c r="B11" s="9">
        <v>300</v>
      </c>
    </row>
    <row r="13" spans="1:9" ht="19.5" customHeight="1" x14ac:dyDescent="0.35">
      <c r="A13" s="10" t="s">
        <v>31</v>
      </c>
      <c r="B13" s="10" t="s">
        <v>32</v>
      </c>
      <c r="C13" s="10" t="s">
        <v>33</v>
      </c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</row>
    <row r="14" spans="1:9" ht="13.5" customHeight="1" x14ac:dyDescent="0.35">
      <c r="A14" s="21">
        <v>46182</v>
      </c>
      <c r="B14" s="22" t="s">
        <v>40</v>
      </c>
      <c r="C14" s="22" t="s">
        <v>41</v>
      </c>
      <c r="D14" s="23">
        <f>B5</f>
        <v>50</v>
      </c>
      <c r="E14" s="23">
        <f>B6</f>
        <v>40</v>
      </c>
      <c r="F14" s="23">
        <f>B7</f>
        <v>15</v>
      </c>
      <c r="G14" s="24">
        <v>0</v>
      </c>
      <c r="H14" s="23">
        <f t="shared" ref="H14:H47" si="0">D14+E14+F14+G14</f>
        <v>105</v>
      </c>
      <c r="I14" s="25"/>
    </row>
    <row r="15" spans="1:9" ht="13.5" customHeight="1" x14ac:dyDescent="0.35">
      <c r="A15" s="26">
        <v>46183</v>
      </c>
      <c r="B15" s="27" t="s">
        <v>42</v>
      </c>
      <c r="C15" s="27" t="s">
        <v>41</v>
      </c>
      <c r="D15" s="28">
        <f>B5</f>
        <v>50</v>
      </c>
      <c r="E15" s="28">
        <f>B6</f>
        <v>40</v>
      </c>
      <c r="F15" s="28">
        <f>B7</f>
        <v>15</v>
      </c>
      <c r="G15" s="29">
        <v>0</v>
      </c>
      <c r="H15" s="28">
        <f t="shared" si="0"/>
        <v>105</v>
      </c>
      <c r="I15" s="30"/>
    </row>
    <row r="16" spans="1:9" ht="13.5" customHeight="1" x14ac:dyDescent="0.35">
      <c r="A16" s="21">
        <v>46184</v>
      </c>
      <c r="B16" s="22" t="s">
        <v>43</v>
      </c>
      <c r="C16" s="22" t="s">
        <v>41</v>
      </c>
      <c r="D16" s="23">
        <f>B5</f>
        <v>50</v>
      </c>
      <c r="E16" s="23">
        <f>B6</f>
        <v>40</v>
      </c>
      <c r="F16" s="23">
        <f>B7</f>
        <v>15</v>
      </c>
      <c r="G16" s="24">
        <v>0</v>
      </c>
      <c r="H16" s="23">
        <f t="shared" si="0"/>
        <v>105</v>
      </c>
      <c r="I16" s="25"/>
    </row>
    <row r="17" spans="1:9" ht="13.5" customHeight="1" x14ac:dyDescent="0.35">
      <c r="A17" s="26">
        <v>46185</v>
      </c>
      <c r="B17" s="27" t="s">
        <v>44</v>
      </c>
      <c r="C17" s="27" t="s">
        <v>41</v>
      </c>
      <c r="D17" s="28">
        <f>B5</f>
        <v>50</v>
      </c>
      <c r="E17" s="28">
        <f>B6</f>
        <v>40</v>
      </c>
      <c r="F17" s="28">
        <f>B7</f>
        <v>15</v>
      </c>
      <c r="G17" s="29">
        <v>0</v>
      </c>
      <c r="H17" s="28">
        <f t="shared" si="0"/>
        <v>105</v>
      </c>
      <c r="I17" s="30"/>
    </row>
    <row r="18" spans="1:9" ht="13.5" customHeight="1" x14ac:dyDescent="0.35">
      <c r="A18" s="21">
        <v>46186</v>
      </c>
      <c r="B18" s="22" t="s">
        <v>45</v>
      </c>
      <c r="C18" s="22" t="s">
        <v>41</v>
      </c>
      <c r="D18" s="23">
        <f>B5</f>
        <v>50</v>
      </c>
      <c r="E18" s="23">
        <f>B6</f>
        <v>40</v>
      </c>
      <c r="F18" s="23">
        <f>B7</f>
        <v>15</v>
      </c>
      <c r="G18" s="24">
        <v>0</v>
      </c>
      <c r="H18" s="23">
        <f t="shared" si="0"/>
        <v>105</v>
      </c>
      <c r="I18" s="25"/>
    </row>
    <row r="19" spans="1:9" ht="13.5" customHeight="1" x14ac:dyDescent="0.35">
      <c r="A19" s="26">
        <v>46187</v>
      </c>
      <c r="B19" s="27" t="s">
        <v>46</v>
      </c>
      <c r="C19" s="27" t="s">
        <v>41</v>
      </c>
      <c r="D19" s="28">
        <f>B5</f>
        <v>50</v>
      </c>
      <c r="E19" s="28">
        <f>B6</f>
        <v>40</v>
      </c>
      <c r="F19" s="28">
        <f>B7</f>
        <v>15</v>
      </c>
      <c r="G19" s="29">
        <v>0</v>
      </c>
      <c r="H19" s="28">
        <f t="shared" si="0"/>
        <v>105</v>
      </c>
      <c r="I19" s="30"/>
    </row>
    <row r="20" spans="1:9" ht="13.5" customHeight="1" x14ac:dyDescent="0.35">
      <c r="A20" s="21">
        <v>46188</v>
      </c>
      <c r="B20" s="22" t="s">
        <v>47</v>
      </c>
      <c r="C20" s="22" t="s">
        <v>41</v>
      </c>
      <c r="D20" s="23">
        <f>B5</f>
        <v>50</v>
      </c>
      <c r="E20" s="23">
        <f>B6</f>
        <v>40</v>
      </c>
      <c r="F20" s="23">
        <f>B7</f>
        <v>15</v>
      </c>
      <c r="G20" s="24">
        <v>0</v>
      </c>
      <c r="H20" s="23">
        <f t="shared" si="0"/>
        <v>105</v>
      </c>
      <c r="I20" s="25"/>
    </row>
    <row r="21" spans="1:9" ht="13.5" customHeight="1" x14ac:dyDescent="0.35">
      <c r="A21" s="26">
        <v>46189</v>
      </c>
      <c r="B21" s="27" t="s">
        <v>40</v>
      </c>
      <c r="C21" s="27" t="s">
        <v>41</v>
      </c>
      <c r="D21" s="28">
        <f>B5</f>
        <v>50</v>
      </c>
      <c r="E21" s="28">
        <f>B6</f>
        <v>40</v>
      </c>
      <c r="F21" s="28">
        <f>B7</f>
        <v>15</v>
      </c>
      <c r="G21" s="29">
        <v>0</v>
      </c>
      <c r="H21" s="28">
        <f t="shared" si="0"/>
        <v>105</v>
      </c>
      <c r="I21" s="30"/>
    </row>
    <row r="22" spans="1:9" ht="13.5" customHeight="1" x14ac:dyDescent="0.35">
      <c r="A22" s="21">
        <v>46190</v>
      </c>
      <c r="B22" s="22" t="s">
        <v>42</v>
      </c>
      <c r="C22" s="22" t="s">
        <v>41</v>
      </c>
      <c r="D22" s="23">
        <f>B5</f>
        <v>50</v>
      </c>
      <c r="E22" s="23">
        <f>B6</f>
        <v>40</v>
      </c>
      <c r="F22" s="23">
        <f>B7</f>
        <v>15</v>
      </c>
      <c r="G22" s="24">
        <v>0</v>
      </c>
      <c r="H22" s="23">
        <f t="shared" si="0"/>
        <v>105</v>
      </c>
      <c r="I22" s="25"/>
    </row>
    <row r="23" spans="1:9" ht="13.5" customHeight="1" x14ac:dyDescent="0.35">
      <c r="A23" s="26">
        <v>46191</v>
      </c>
      <c r="B23" s="27" t="s">
        <v>43</v>
      </c>
      <c r="C23" s="27" t="s">
        <v>41</v>
      </c>
      <c r="D23" s="28">
        <f>B5</f>
        <v>50</v>
      </c>
      <c r="E23" s="28">
        <f>B6</f>
        <v>40</v>
      </c>
      <c r="F23" s="28">
        <f>B7</f>
        <v>15</v>
      </c>
      <c r="G23" s="29">
        <v>0</v>
      </c>
      <c r="H23" s="28">
        <f t="shared" si="0"/>
        <v>105</v>
      </c>
      <c r="I23" s="30"/>
    </row>
    <row r="24" spans="1:9" ht="13.5" customHeight="1" x14ac:dyDescent="0.35">
      <c r="A24" s="21">
        <v>46192</v>
      </c>
      <c r="B24" s="22" t="s">
        <v>44</v>
      </c>
      <c r="C24" s="22" t="s">
        <v>41</v>
      </c>
      <c r="D24" s="23">
        <f>B5</f>
        <v>50</v>
      </c>
      <c r="E24" s="23">
        <f>B6</f>
        <v>40</v>
      </c>
      <c r="F24" s="23">
        <f>B7</f>
        <v>15</v>
      </c>
      <c r="G24" s="24">
        <v>0</v>
      </c>
      <c r="H24" s="23">
        <f t="shared" si="0"/>
        <v>105</v>
      </c>
      <c r="I24" s="25"/>
    </row>
    <row r="25" spans="1:9" ht="13.5" customHeight="1" x14ac:dyDescent="0.35">
      <c r="A25" s="26">
        <v>46193</v>
      </c>
      <c r="B25" s="27" t="s">
        <v>45</v>
      </c>
      <c r="C25" s="27" t="s">
        <v>41</v>
      </c>
      <c r="D25" s="28">
        <f>B5</f>
        <v>50</v>
      </c>
      <c r="E25" s="28">
        <f>B6</f>
        <v>40</v>
      </c>
      <c r="F25" s="28">
        <f>B7</f>
        <v>15</v>
      </c>
      <c r="G25" s="29">
        <v>0</v>
      </c>
      <c r="H25" s="28">
        <f t="shared" si="0"/>
        <v>105</v>
      </c>
      <c r="I25" s="30"/>
    </row>
    <row r="26" spans="1:9" ht="13.5" customHeight="1" x14ac:dyDescent="0.35">
      <c r="A26" s="21">
        <v>46194</v>
      </c>
      <c r="B26" s="22" t="s">
        <v>46</v>
      </c>
      <c r="C26" s="22" t="s">
        <v>41</v>
      </c>
      <c r="D26" s="23">
        <f>B5</f>
        <v>50</v>
      </c>
      <c r="E26" s="23">
        <f>B6</f>
        <v>40</v>
      </c>
      <c r="F26" s="23">
        <f>B7</f>
        <v>15</v>
      </c>
      <c r="G26" s="24">
        <v>0</v>
      </c>
      <c r="H26" s="23">
        <f t="shared" si="0"/>
        <v>105</v>
      </c>
      <c r="I26" s="25"/>
    </row>
    <row r="27" spans="1:9" ht="13.5" customHeight="1" x14ac:dyDescent="0.35">
      <c r="A27" s="26">
        <v>46195</v>
      </c>
      <c r="B27" s="27" t="s">
        <v>47</v>
      </c>
      <c r="C27" s="27" t="s">
        <v>41</v>
      </c>
      <c r="D27" s="28">
        <f>B5</f>
        <v>50</v>
      </c>
      <c r="E27" s="28">
        <f>B6</f>
        <v>40</v>
      </c>
      <c r="F27" s="28">
        <f>B7</f>
        <v>15</v>
      </c>
      <c r="G27" s="29">
        <v>0</v>
      </c>
      <c r="H27" s="28">
        <f t="shared" si="0"/>
        <v>105</v>
      </c>
      <c r="I27" s="30"/>
    </row>
    <row r="28" spans="1:9" ht="13.5" customHeight="1" x14ac:dyDescent="0.35">
      <c r="A28" s="31">
        <v>46196</v>
      </c>
      <c r="B28" s="32" t="s">
        <v>40</v>
      </c>
      <c r="C28" s="32" t="s">
        <v>18</v>
      </c>
      <c r="D28" s="33">
        <f>B8</f>
        <v>88</v>
      </c>
      <c r="E28" s="33">
        <f>B9</f>
        <v>32</v>
      </c>
      <c r="F28" s="33">
        <f>B10</f>
        <v>38</v>
      </c>
      <c r="G28" s="34">
        <f>B11</f>
        <v>300</v>
      </c>
      <c r="H28" s="33">
        <f t="shared" si="0"/>
        <v>458</v>
      </c>
      <c r="I28" s="39" t="s">
        <v>65</v>
      </c>
    </row>
    <row r="29" spans="1:9" ht="13.5" customHeight="1" x14ac:dyDescent="0.35">
      <c r="A29" s="26">
        <v>46197</v>
      </c>
      <c r="B29" s="27" t="s">
        <v>42</v>
      </c>
      <c r="C29" s="27" t="s">
        <v>18</v>
      </c>
      <c r="D29" s="28">
        <f>B8</f>
        <v>88</v>
      </c>
      <c r="E29" s="28">
        <f>B9</f>
        <v>32</v>
      </c>
      <c r="F29" s="28">
        <f>B10</f>
        <v>38</v>
      </c>
      <c r="G29" s="29">
        <v>0</v>
      </c>
      <c r="H29" s="28">
        <f t="shared" si="0"/>
        <v>158</v>
      </c>
      <c r="I29" s="30"/>
    </row>
    <row r="30" spans="1:9" ht="13.5" customHeight="1" x14ac:dyDescent="0.35">
      <c r="A30" s="31">
        <v>46198</v>
      </c>
      <c r="B30" s="32" t="s">
        <v>43</v>
      </c>
      <c r="C30" s="32" t="s">
        <v>18</v>
      </c>
      <c r="D30" s="33">
        <f>B8</f>
        <v>88</v>
      </c>
      <c r="E30" s="33">
        <f>B9</f>
        <v>32</v>
      </c>
      <c r="F30" s="33">
        <f>B10</f>
        <v>38</v>
      </c>
      <c r="G30" s="34">
        <v>0</v>
      </c>
      <c r="H30" s="33">
        <f t="shared" si="0"/>
        <v>158</v>
      </c>
      <c r="I30" s="35"/>
    </row>
    <row r="31" spans="1:9" ht="13.5" customHeight="1" x14ac:dyDescent="0.35">
      <c r="A31" s="26">
        <v>46199</v>
      </c>
      <c r="B31" s="27" t="s">
        <v>44</v>
      </c>
      <c r="C31" s="27" t="s">
        <v>18</v>
      </c>
      <c r="D31" s="28">
        <f>B8</f>
        <v>88</v>
      </c>
      <c r="E31" s="28">
        <f>B9</f>
        <v>32</v>
      </c>
      <c r="F31" s="28">
        <f>B10</f>
        <v>38</v>
      </c>
      <c r="G31" s="29">
        <v>0</v>
      </c>
      <c r="H31" s="28">
        <f t="shared" si="0"/>
        <v>158</v>
      </c>
      <c r="I31" s="30"/>
    </row>
    <row r="32" spans="1:9" ht="13.5" customHeight="1" x14ac:dyDescent="0.35">
      <c r="A32" s="31">
        <v>46200</v>
      </c>
      <c r="B32" s="32" t="s">
        <v>45</v>
      </c>
      <c r="C32" s="32" t="s">
        <v>18</v>
      </c>
      <c r="D32" s="33">
        <f>B8</f>
        <v>88</v>
      </c>
      <c r="E32" s="33">
        <f>B9</f>
        <v>32</v>
      </c>
      <c r="F32" s="33">
        <f>B10</f>
        <v>38</v>
      </c>
      <c r="G32" s="34">
        <v>0</v>
      </c>
      <c r="H32" s="33">
        <f t="shared" si="0"/>
        <v>158</v>
      </c>
      <c r="I32" s="35"/>
    </row>
    <row r="33" spans="1:9" ht="13.5" customHeight="1" x14ac:dyDescent="0.35">
      <c r="A33" s="26">
        <v>46201</v>
      </c>
      <c r="B33" s="27" t="s">
        <v>46</v>
      </c>
      <c r="C33" s="27" t="s">
        <v>18</v>
      </c>
      <c r="D33" s="28">
        <f>B8</f>
        <v>88</v>
      </c>
      <c r="E33" s="28">
        <f>B9</f>
        <v>32</v>
      </c>
      <c r="F33" s="28">
        <f>B10</f>
        <v>38</v>
      </c>
      <c r="G33" s="29">
        <v>0</v>
      </c>
      <c r="H33" s="28">
        <f t="shared" si="0"/>
        <v>158</v>
      </c>
      <c r="I33" s="30"/>
    </row>
    <row r="34" spans="1:9" ht="13.5" customHeight="1" x14ac:dyDescent="0.35">
      <c r="A34" s="31">
        <v>46202</v>
      </c>
      <c r="B34" s="32" t="s">
        <v>47</v>
      </c>
      <c r="C34" s="32" t="s">
        <v>18</v>
      </c>
      <c r="D34" s="33">
        <f>B8</f>
        <v>88</v>
      </c>
      <c r="E34" s="33">
        <f>B9</f>
        <v>32</v>
      </c>
      <c r="F34" s="33">
        <f>B10</f>
        <v>38</v>
      </c>
      <c r="G34" s="34">
        <v>0</v>
      </c>
      <c r="H34" s="33">
        <f t="shared" si="0"/>
        <v>158</v>
      </c>
      <c r="I34" s="35"/>
    </row>
    <row r="35" spans="1:9" ht="13.5" customHeight="1" x14ac:dyDescent="0.35">
      <c r="A35" s="26">
        <v>46203</v>
      </c>
      <c r="B35" s="27" t="s">
        <v>40</v>
      </c>
      <c r="C35" s="27" t="s">
        <v>18</v>
      </c>
      <c r="D35" s="28">
        <f>B8</f>
        <v>88</v>
      </c>
      <c r="E35" s="28">
        <f>B9</f>
        <v>32</v>
      </c>
      <c r="F35" s="28">
        <f>B10</f>
        <v>38</v>
      </c>
      <c r="G35" s="29">
        <v>0</v>
      </c>
      <c r="H35" s="28">
        <f t="shared" si="0"/>
        <v>158</v>
      </c>
      <c r="I35" s="30"/>
    </row>
    <row r="36" spans="1:9" ht="13.5" customHeight="1" x14ac:dyDescent="0.35">
      <c r="A36" s="31">
        <v>46204</v>
      </c>
      <c r="B36" s="32" t="s">
        <v>42</v>
      </c>
      <c r="C36" s="32" t="s">
        <v>18</v>
      </c>
      <c r="D36" s="33">
        <f>B8</f>
        <v>88</v>
      </c>
      <c r="E36" s="33">
        <f>B9</f>
        <v>32</v>
      </c>
      <c r="F36" s="33">
        <f>B10</f>
        <v>38</v>
      </c>
      <c r="G36" s="34">
        <v>0</v>
      </c>
      <c r="H36" s="33">
        <f t="shared" si="0"/>
        <v>158</v>
      </c>
      <c r="I36" s="35"/>
    </row>
    <row r="37" spans="1:9" ht="13.5" customHeight="1" x14ac:dyDescent="0.35">
      <c r="A37" s="26">
        <v>46205</v>
      </c>
      <c r="B37" s="27" t="s">
        <v>43</v>
      </c>
      <c r="C37" s="27" t="s">
        <v>18</v>
      </c>
      <c r="D37" s="28">
        <f>B8</f>
        <v>88</v>
      </c>
      <c r="E37" s="28">
        <f>B9</f>
        <v>32</v>
      </c>
      <c r="F37" s="28">
        <f>B10</f>
        <v>38</v>
      </c>
      <c r="G37" s="29">
        <v>0</v>
      </c>
      <c r="H37" s="28">
        <f t="shared" si="0"/>
        <v>158</v>
      </c>
      <c r="I37" s="30"/>
    </row>
    <row r="38" spans="1:9" ht="13.5" customHeight="1" x14ac:dyDescent="0.35">
      <c r="A38" s="31">
        <v>46206</v>
      </c>
      <c r="B38" s="32" t="s">
        <v>44</v>
      </c>
      <c r="C38" s="32" t="s">
        <v>18</v>
      </c>
      <c r="D38" s="33">
        <f>B8</f>
        <v>88</v>
      </c>
      <c r="E38" s="33">
        <f>B9</f>
        <v>32</v>
      </c>
      <c r="F38" s="33">
        <f>B10</f>
        <v>38</v>
      </c>
      <c r="G38" s="34">
        <v>0</v>
      </c>
      <c r="H38" s="33">
        <f t="shared" si="0"/>
        <v>158</v>
      </c>
      <c r="I38" s="35"/>
    </row>
    <row r="39" spans="1:9" ht="13.5" customHeight="1" x14ac:dyDescent="0.35">
      <c r="A39" s="26">
        <v>46207</v>
      </c>
      <c r="B39" s="27" t="s">
        <v>45</v>
      </c>
      <c r="C39" s="27" t="s">
        <v>18</v>
      </c>
      <c r="D39" s="28">
        <f>B8</f>
        <v>88</v>
      </c>
      <c r="E39" s="28">
        <f>B9</f>
        <v>32</v>
      </c>
      <c r="F39" s="28">
        <f>B10</f>
        <v>38</v>
      </c>
      <c r="G39" s="29">
        <v>0</v>
      </c>
      <c r="H39" s="28">
        <f t="shared" si="0"/>
        <v>158</v>
      </c>
      <c r="I39" s="30"/>
    </row>
    <row r="40" spans="1:9" ht="13.5" customHeight="1" x14ac:dyDescent="0.35">
      <c r="A40" s="31">
        <v>46208</v>
      </c>
      <c r="B40" s="32" t="s">
        <v>46</v>
      </c>
      <c r="C40" s="32" t="s">
        <v>18</v>
      </c>
      <c r="D40" s="33">
        <f>B8</f>
        <v>88</v>
      </c>
      <c r="E40" s="33">
        <f>B9</f>
        <v>32</v>
      </c>
      <c r="F40" s="33">
        <f>B10</f>
        <v>38</v>
      </c>
      <c r="G40" s="34">
        <v>0</v>
      </c>
      <c r="H40" s="33">
        <f t="shared" si="0"/>
        <v>158</v>
      </c>
      <c r="I40" s="35"/>
    </row>
    <row r="41" spans="1:9" ht="13.5" customHeight="1" x14ac:dyDescent="0.35">
      <c r="A41" s="26">
        <v>46209</v>
      </c>
      <c r="B41" s="27" t="s">
        <v>47</v>
      </c>
      <c r="C41" s="27" t="s">
        <v>18</v>
      </c>
      <c r="D41" s="28">
        <f>B8</f>
        <v>88</v>
      </c>
      <c r="E41" s="28">
        <f>B9</f>
        <v>32</v>
      </c>
      <c r="F41" s="28">
        <f>B10</f>
        <v>38</v>
      </c>
      <c r="G41" s="29">
        <v>0</v>
      </c>
      <c r="H41" s="28">
        <f t="shared" si="0"/>
        <v>158</v>
      </c>
      <c r="I41" s="30"/>
    </row>
    <row r="42" spans="1:9" ht="13.5" customHeight="1" x14ac:dyDescent="0.35">
      <c r="A42" s="31">
        <v>46210</v>
      </c>
      <c r="B42" s="32" t="s">
        <v>40</v>
      </c>
      <c r="C42" s="32" t="s">
        <v>18</v>
      </c>
      <c r="D42" s="33">
        <f>B8</f>
        <v>88</v>
      </c>
      <c r="E42" s="33">
        <f>B9</f>
        <v>32</v>
      </c>
      <c r="F42" s="33">
        <f>B10</f>
        <v>38</v>
      </c>
      <c r="G42" s="34">
        <v>0</v>
      </c>
      <c r="H42" s="33">
        <f t="shared" si="0"/>
        <v>158</v>
      </c>
      <c r="I42" s="35"/>
    </row>
    <row r="43" spans="1:9" ht="13.5" customHeight="1" x14ac:dyDescent="0.35">
      <c r="A43" s="26">
        <v>46211</v>
      </c>
      <c r="B43" s="27" t="s">
        <v>42</v>
      </c>
      <c r="C43" s="27" t="s">
        <v>18</v>
      </c>
      <c r="D43" s="28">
        <f>B8</f>
        <v>88</v>
      </c>
      <c r="E43" s="28">
        <f>B9</f>
        <v>32</v>
      </c>
      <c r="F43" s="28">
        <f>B10</f>
        <v>38</v>
      </c>
      <c r="G43" s="29">
        <v>0</v>
      </c>
      <c r="H43" s="28">
        <f t="shared" si="0"/>
        <v>158</v>
      </c>
      <c r="I43" s="30"/>
    </row>
    <row r="44" spans="1:9" ht="13.5" customHeight="1" x14ac:dyDescent="0.35">
      <c r="A44" s="31">
        <v>46212</v>
      </c>
      <c r="B44" s="32" t="s">
        <v>43</v>
      </c>
      <c r="C44" s="32" t="s">
        <v>18</v>
      </c>
      <c r="D44" s="33">
        <f>B8</f>
        <v>88</v>
      </c>
      <c r="E44" s="33">
        <f>B9</f>
        <v>32</v>
      </c>
      <c r="F44" s="33">
        <f>B10</f>
        <v>38</v>
      </c>
      <c r="G44" s="34">
        <v>0</v>
      </c>
      <c r="H44" s="33">
        <f t="shared" si="0"/>
        <v>158</v>
      </c>
      <c r="I44" s="35"/>
    </row>
    <row r="45" spans="1:9" ht="13.5" customHeight="1" x14ac:dyDescent="0.35">
      <c r="A45" s="26">
        <v>46213</v>
      </c>
      <c r="B45" s="27" t="s">
        <v>44</v>
      </c>
      <c r="C45" s="27" t="s">
        <v>18</v>
      </c>
      <c r="D45" s="28">
        <f>B8</f>
        <v>88</v>
      </c>
      <c r="E45" s="28">
        <f>B9</f>
        <v>32</v>
      </c>
      <c r="F45" s="28">
        <f>B10</f>
        <v>38</v>
      </c>
      <c r="G45" s="29">
        <v>0</v>
      </c>
      <c r="H45" s="28">
        <f t="shared" si="0"/>
        <v>158</v>
      </c>
      <c r="I45" s="30"/>
    </row>
    <row r="46" spans="1:9" ht="13.5" customHeight="1" x14ac:dyDescent="0.35">
      <c r="A46" s="31">
        <v>46214</v>
      </c>
      <c r="B46" s="32" t="s">
        <v>45</v>
      </c>
      <c r="C46" s="32" t="s">
        <v>18</v>
      </c>
      <c r="D46" s="33">
        <f>B8</f>
        <v>88</v>
      </c>
      <c r="E46" s="33">
        <f>B9</f>
        <v>32</v>
      </c>
      <c r="F46" s="33">
        <f>B10</f>
        <v>38</v>
      </c>
      <c r="G46" s="34">
        <v>0</v>
      </c>
      <c r="H46" s="33">
        <f t="shared" si="0"/>
        <v>158</v>
      </c>
      <c r="I46" s="35"/>
    </row>
    <row r="47" spans="1:9" ht="13.5" customHeight="1" x14ac:dyDescent="0.35">
      <c r="A47" s="26">
        <v>46215</v>
      </c>
      <c r="B47" s="27" t="s">
        <v>46</v>
      </c>
      <c r="C47" s="27" t="s">
        <v>18</v>
      </c>
      <c r="D47" s="28">
        <f>B8</f>
        <v>88</v>
      </c>
      <c r="E47" s="28">
        <f>B9</f>
        <v>32</v>
      </c>
      <c r="F47" s="28">
        <f>B10</f>
        <v>38</v>
      </c>
      <c r="G47" s="29">
        <v>0</v>
      </c>
      <c r="H47" s="28">
        <f t="shared" si="0"/>
        <v>158</v>
      </c>
      <c r="I47" s="30"/>
    </row>
    <row r="48" spans="1:9" ht="15.75" customHeight="1" x14ac:dyDescent="0.35">
      <c r="A48" s="3" t="s">
        <v>48</v>
      </c>
      <c r="B48" s="3"/>
      <c r="C48" s="3"/>
      <c r="D48" s="36">
        <f>SUM(D14:D27)</f>
        <v>700</v>
      </c>
      <c r="E48" s="36">
        <f>SUM(E14:E27)</f>
        <v>560</v>
      </c>
      <c r="F48" s="36">
        <f>SUM(F14:F27)</f>
        <v>210</v>
      </c>
      <c r="G48" s="36">
        <f>SUM(G14:G27)</f>
        <v>0</v>
      </c>
      <c r="H48" s="36">
        <f>SUM(H14:H27)</f>
        <v>1470</v>
      </c>
    </row>
    <row r="49" spans="1:9" ht="15.75" customHeight="1" x14ac:dyDescent="0.35">
      <c r="A49" s="2" t="s">
        <v>66</v>
      </c>
      <c r="B49" s="2"/>
      <c r="C49" s="2"/>
      <c r="D49" s="37">
        <f>SUM(D28:D47)</f>
        <v>1760</v>
      </c>
      <c r="E49" s="37">
        <f>SUM(E28:E47)</f>
        <v>640</v>
      </c>
      <c r="F49" s="37">
        <f>SUM(F28:F47)</f>
        <v>760</v>
      </c>
      <c r="G49" s="37">
        <f>SUM(G28:G47)</f>
        <v>300</v>
      </c>
      <c r="H49" s="37">
        <f>SUM(H28:H47)</f>
        <v>3460</v>
      </c>
    </row>
    <row r="50" spans="1:9" ht="19.5" customHeight="1" x14ac:dyDescent="0.35">
      <c r="A50" s="1" t="s">
        <v>14</v>
      </c>
      <c r="B50" s="1"/>
      <c r="C50" s="1"/>
      <c r="D50" s="38">
        <f>D48+D49</f>
        <v>2460</v>
      </c>
      <c r="E50" s="38">
        <f>E48+E49</f>
        <v>1200</v>
      </c>
      <c r="F50" s="38">
        <f>F48+F49</f>
        <v>970</v>
      </c>
      <c r="G50" s="38">
        <f>G48+G49</f>
        <v>300</v>
      </c>
      <c r="H50" s="38">
        <f>H48+H49</f>
        <v>4930</v>
      </c>
    </row>
    <row r="52" spans="1:9" x14ac:dyDescent="0.35">
      <c r="A52" s="6" t="s">
        <v>50</v>
      </c>
      <c r="B52" s="6"/>
      <c r="C52" s="6"/>
      <c r="D52" s="6"/>
      <c r="E52" s="6"/>
      <c r="F52" s="6"/>
      <c r="G52" s="6"/>
      <c r="H52" s="6"/>
      <c r="I52" s="6"/>
    </row>
  </sheetData>
  <mergeCells count="7">
    <mergeCell ref="A50:C50"/>
    <mergeCell ref="A52:I52"/>
    <mergeCell ref="A1:I1"/>
    <mergeCell ref="A2:I2"/>
    <mergeCell ref="A4:I4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2"/>
  <sheetViews>
    <sheetView showGridLines="0" zoomScaleNormal="100" workbookViewId="0">
      <pane ySplit="13" topLeftCell="A14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5" customWidth="1"/>
    <col min="3" max="3" width="22" customWidth="1"/>
    <col min="4" max="4" width="11" customWidth="1"/>
    <col min="5" max="5" width="10" customWidth="1"/>
    <col min="6" max="6" width="11" customWidth="1"/>
    <col min="7" max="7" width="10" customWidth="1"/>
    <col min="8" max="8" width="13" customWidth="1"/>
    <col min="9" max="9" width="28" customWidth="1"/>
  </cols>
  <sheetData>
    <row r="1" spans="1:9" ht="24" customHeight="1" x14ac:dyDescent="0.35">
      <c r="A1" s="4" t="s">
        <v>67</v>
      </c>
      <c r="B1" s="4"/>
      <c r="C1" s="4"/>
      <c r="D1" s="4"/>
      <c r="E1" s="4"/>
      <c r="F1" s="4"/>
      <c r="G1" s="4"/>
      <c r="H1" s="4"/>
      <c r="I1" s="4"/>
    </row>
    <row r="2" spans="1:9" ht="12.75" customHeight="1" x14ac:dyDescent="0.35">
      <c r="A2" s="6" t="s">
        <v>22</v>
      </c>
      <c r="B2" s="6"/>
      <c r="C2" s="6"/>
      <c r="D2" s="6"/>
      <c r="E2" s="6"/>
      <c r="F2" s="6"/>
      <c r="G2" s="6"/>
      <c r="H2" s="6"/>
      <c r="I2" s="6"/>
    </row>
    <row r="3" spans="1:9" ht="6" customHeight="1" x14ac:dyDescent="0.35"/>
    <row r="4" spans="1:9" ht="15.75" customHeight="1" x14ac:dyDescent="0.35">
      <c r="A4" s="5" t="s">
        <v>23</v>
      </c>
      <c r="B4" s="5"/>
      <c r="C4" s="5"/>
      <c r="D4" s="5"/>
      <c r="E4" s="5"/>
      <c r="F4" s="5"/>
      <c r="G4" s="5"/>
      <c r="H4" s="5"/>
      <c r="I4" s="5"/>
    </row>
    <row r="5" spans="1:9" ht="13.5" customHeight="1" x14ac:dyDescent="0.35">
      <c r="A5" s="8" t="s">
        <v>24</v>
      </c>
      <c r="B5" s="9">
        <v>50</v>
      </c>
    </row>
    <row r="6" spans="1:9" ht="13.5" customHeight="1" x14ac:dyDescent="0.35">
      <c r="A6" s="8" t="s">
        <v>25</v>
      </c>
      <c r="B6" s="9">
        <v>40</v>
      </c>
    </row>
    <row r="7" spans="1:9" ht="13.5" customHeight="1" x14ac:dyDescent="0.35">
      <c r="A7" s="8" t="s">
        <v>26</v>
      </c>
      <c r="B7" s="9">
        <v>15</v>
      </c>
    </row>
    <row r="8" spans="1:9" ht="13.5" customHeight="1" x14ac:dyDescent="0.35">
      <c r="A8" s="8" t="s">
        <v>68</v>
      </c>
      <c r="B8" s="9">
        <v>58</v>
      </c>
    </row>
    <row r="9" spans="1:9" ht="13.5" customHeight="1" x14ac:dyDescent="0.35">
      <c r="A9" s="8" t="s">
        <v>69</v>
      </c>
      <c r="B9" s="9">
        <v>22</v>
      </c>
    </row>
    <row r="10" spans="1:9" ht="13.5" customHeight="1" x14ac:dyDescent="0.35">
      <c r="A10" s="8" t="s">
        <v>70</v>
      </c>
      <c r="B10" s="9">
        <v>25</v>
      </c>
    </row>
    <row r="11" spans="1:9" ht="13.5" customHeight="1" x14ac:dyDescent="0.35">
      <c r="A11" s="8" t="s">
        <v>30</v>
      </c>
      <c r="B11" s="9">
        <v>240</v>
      </c>
    </row>
    <row r="13" spans="1:9" ht="19.5" customHeight="1" x14ac:dyDescent="0.35">
      <c r="A13" s="10" t="s">
        <v>31</v>
      </c>
      <c r="B13" s="10" t="s">
        <v>32</v>
      </c>
      <c r="C13" s="10" t="s">
        <v>33</v>
      </c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</row>
    <row r="14" spans="1:9" ht="13.5" customHeight="1" x14ac:dyDescent="0.35">
      <c r="A14" s="21">
        <v>46182</v>
      </c>
      <c r="B14" s="22" t="s">
        <v>40</v>
      </c>
      <c r="C14" s="22" t="s">
        <v>41</v>
      </c>
      <c r="D14" s="23">
        <f>B5</f>
        <v>50</v>
      </c>
      <c r="E14" s="23">
        <f>B6</f>
        <v>40</v>
      </c>
      <c r="F14" s="23">
        <f>B7</f>
        <v>15</v>
      </c>
      <c r="G14" s="24">
        <v>0</v>
      </c>
      <c r="H14" s="23">
        <f t="shared" ref="H14:H47" si="0">D14+E14+F14+G14</f>
        <v>105</v>
      </c>
      <c r="I14" s="25"/>
    </row>
    <row r="15" spans="1:9" ht="13.5" customHeight="1" x14ac:dyDescent="0.35">
      <c r="A15" s="26">
        <v>46183</v>
      </c>
      <c r="B15" s="27" t="s">
        <v>42</v>
      </c>
      <c r="C15" s="27" t="s">
        <v>41</v>
      </c>
      <c r="D15" s="28">
        <f>B5</f>
        <v>50</v>
      </c>
      <c r="E15" s="28">
        <f>B6</f>
        <v>40</v>
      </c>
      <c r="F15" s="28">
        <f>B7</f>
        <v>15</v>
      </c>
      <c r="G15" s="29">
        <v>0</v>
      </c>
      <c r="H15" s="28">
        <f t="shared" si="0"/>
        <v>105</v>
      </c>
      <c r="I15" s="30"/>
    </row>
    <row r="16" spans="1:9" ht="13.5" customHeight="1" x14ac:dyDescent="0.35">
      <c r="A16" s="21">
        <v>46184</v>
      </c>
      <c r="B16" s="22" t="s">
        <v>43</v>
      </c>
      <c r="C16" s="22" t="s">
        <v>41</v>
      </c>
      <c r="D16" s="23">
        <f>B5</f>
        <v>50</v>
      </c>
      <c r="E16" s="23">
        <f>B6</f>
        <v>40</v>
      </c>
      <c r="F16" s="23">
        <f>B7</f>
        <v>15</v>
      </c>
      <c r="G16" s="24">
        <v>0</v>
      </c>
      <c r="H16" s="23">
        <f t="shared" si="0"/>
        <v>105</v>
      </c>
      <c r="I16" s="25"/>
    </row>
    <row r="17" spans="1:9" ht="13.5" customHeight="1" x14ac:dyDescent="0.35">
      <c r="A17" s="26">
        <v>46185</v>
      </c>
      <c r="B17" s="27" t="s">
        <v>44</v>
      </c>
      <c r="C17" s="27" t="s">
        <v>41</v>
      </c>
      <c r="D17" s="28">
        <f>B5</f>
        <v>50</v>
      </c>
      <c r="E17" s="28">
        <f>B6</f>
        <v>40</v>
      </c>
      <c r="F17" s="28">
        <f>B7</f>
        <v>15</v>
      </c>
      <c r="G17" s="29">
        <v>0</v>
      </c>
      <c r="H17" s="28">
        <f t="shared" si="0"/>
        <v>105</v>
      </c>
      <c r="I17" s="30"/>
    </row>
    <row r="18" spans="1:9" ht="13.5" customHeight="1" x14ac:dyDescent="0.35">
      <c r="A18" s="21">
        <v>46186</v>
      </c>
      <c r="B18" s="22" t="s">
        <v>45</v>
      </c>
      <c r="C18" s="22" t="s">
        <v>41</v>
      </c>
      <c r="D18" s="23">
        <f>B5</f>
        <v>50</v>
      </c>
      <c r="E18" s="23">
        <f>B6</f>
        <v>40</v>
      </c>
      <c r="F18" s="23">
        <f>B7</f>
        <v>15</v>
      </c>
      <c r="G18" s="24">
        <v>0</v>
      </c>
      <c r="H18" s="23">
        <f t="shared" si="0"/>
        <v>105</v>
      </c>
      <c r="I18" s="25"/>
    </row>
    <row r="19" spans="1:9" ht="13.5" customHeight="1" x14ac:dyDescent="0.35">
      <c r="A19" s="26">
        <v>46187</v>
      </c>
      <c r="B19" s="27" t="s">
        <v>46</v>
      </c>
      <c r="C19" s="27" t="s">
        <v>41</v>
      </c>
      <c r="D19" s="28">
        <f>B5</f>
        <v>50</v>
      </c>
      <c r="E19" s="28">
        <f>B6</f>
        <v>40</v>
      </c>
      <c r="F19" s="28">
        <f>B7</f>
        <v>15</v>
      </c>
      <c r="G19" s="29">
        <v>0</v>
      </c>
      <c r="H19" s="28">
        <f t="shared" si="0"/>
        <v>105</v>
      </c>
      <c r="I19" s="30"/>
    </row>
    <row r="20" spans="1:9" ht="13.5" customHeight="1" x14ac:dyDescent="0.35">
      <c r="A20" s="21">
        <v>46188</v>
      </c>
      <c r="B20" s="22" t="s">
        <v>47</v>
      </c>
      <c r="C20" s="22" t="s">
        <v>41</v>
      </c>
      <c r="D20" s="23">
        <f>B5</f>
        <v>50</v>
      </c>
      <c r="E20" s="23">
        <f>B6</f>
        <v>40</v>
      </c>
      <c r="F20" s="23">
        <f>B7</f>
        <v>15</v>
      </c>
      <c r="G20" s="24">
        <v>0</v>
      </c>
      <c r="H20" s="23">
        <f t="shared" si="0"/>
        <v>105</v>
      </c>
      <c r="I20" s="25"/>
    </row>
    <row r="21" spans="1:9" ht="13.5" customHeight="1" x14ac:dyDescent="0.35">
      <c r="A21" s="26">
        <v>46189</v>
      </c>
      <c r="B21" s="27" t="s">
        <v>40</v>
      </c>
      <c r="C21" s="27" t="s">
        <v>41</v>
      </c>
      <c r="D21" s="28">
        <f>B5</f>
        <v>50</v>
      </c>
      <c r="E21" s="28">
        <f>B6</f>
        <v>40</v>
      </c>
      <c r="F21" s="28">
        <f>B7</f>
        <v>15</v>
      </c>
      <c r="G21" s="29">
        <v>0</v>
      </c>
      <c r="H21" s="28">
        <f t="shared" si="0"/>
        <v>105</v>
      </c>
      <c r="I21" s="30"/>
    </row>
    <row r="22" spans="1:9" ht="13.5" customHeight="1" x14ac:dyDescent="0.35">
      <c r="A22" s="21">
        <v>46190</v>
      </c>
      <c r="B22" s="22" t="s">
        <v>42</v>
      </c>
      <c r="C22" s="22" t="s">
        <v>41</v>
      </c>
      <c r="D22" s="23">
        <f>B5</f>
        <v>50</v>
      </c>
      <c r="E22" s="23">
        <f>B6</f>
        <v>40</v>
      </c>
      <c r="F22" s="23">
        <f>B7</f>
        <v>15</v>
      </c>
      <c r="G22" s="24">
        <v>0</v>
      </c>
      <c r="H22" s="23">
        <f t="shared" si="0"/>
        <v>105</v>
      </c>
      <c r="I22" s="25"/>
    </row>
    <row r="23" spans="1:9" ht="13.5" customHeight="1" x14ac:dyDescent="0.35">
      <c r="A23" s="26">
        <v>46191</v>
      </c>
      <c r="B23" s="27" t="s">
        <v>43</v>
      </c>
      <c r="C23" s="27" t="s">
        <v>41</v>
      </c>
      <c r="D23" s="28">
        <f>B5</f>
        <v>50</v>
      </c>
      <c r="E23" s="28">
        <f>B6</f>
        <v>40</v>
      </c>
      <c r="F23" s="28">
        <f>B7</f>
        <v>15</v>
      </c>
      <c r="G23" s="29">
        <v>0</v>
      </c>
      <c r="H23" s="28">
        <f t="shared" si="0"/>
        <v>105</v>
      </c>
      <c r="I23" s="30"/>
    </row>
    <row r="24" spans="1:9" ht="13.5" customHeight="1" x14ac:dyDescent="0.35">
      <c r="A24" s="21">
        <v>46192</v>
      </c>
      <c r="B24" s="22" t="s">
        <v>44</v>
      </c>
      <c r="C24" s="22" t="s">
        <v>41</v>
      </c>
      <c r="D24" s="23">
        <f>B5</f>
        <v>50</v>
      </c>
      <c r="E24" s="23">
        <f>B6</f>
        <v>40</v>
      </c>
      <c r="F24" s="23">
        <f>B7</f>
        <v>15</v>
      </c>
      <c r="G24" s="24">
        <v>0</v>
      </c>
      <c r="H24" s="23">
        <f t="shared" si="0"/>
        <v>105</v>
      </c>
      <c r="I24" s="25"/>
    </row>
    <row r="25" spans="1:9" ht="13.5" customHeight="1" x14ac:dyDescent="0.35">
      <c r="A25" s="26">
        <v>46193</v>
      </c>
      <c r="B25" s="27" t="s">
        <v>45</v>
      </c>
      <c r="C25" s="27" t="s">
        <v>41</v>
      </c>
      <c r="D25" s="28">
        <f>B5</f>
        <v>50</v>
      </c>
      <c r="E25" s="28">
        <f>B6</f>
        <v>40</v>
      </c>
      <c r="F25" s="28">
        <f>B7</f>
        <v>15</v>
      </c>
      <c r="G25" s="29">
        <v>0</v>
      </c>
      <c r="H25" s="28">
        <f t="shared" si="0"/>
        <v>105</v>
      </c>
      <c r="I25" s="30"/>
    </row>
    <row r="26" spans="1:9" ht="13.5" customHeight="1" x14ac:dyDescent="0.35">
      <c r="A26" s="21">
        <v>46194</v>
      </c>
      <c r="B26" s="22" t="s">
        <v>46</v>
      </c>
      <c r="C26" s="22" t="s">
        <v>41</v>
      </c>
      <c r="D26" s="23">
        <f>B5</f>
        <v>50</v>
      </c>
      <c r="E26" s="23">
        <f>B6</f>
        <v>40</v>
      </c>
      <c r="F26" s="23">
        <f>B7</f>
        <v>15</v>
      </c>
      <c r="G26" s="24">
        <v>0</v>
      </c>
      <c r="H26" s="23">
        <f t="shared" si="0"/>
        <v>105</v>
      </c>
      <c r="I26" s="25"/>
    </row>
    <row r="27" spans="1:9" ht="13.5" customHeight="1" x14ac:dyDescent="0.35">
      <c r="A27" s="26">
        <v>46195</v>
      </c>
      <c r="B27" s="27" t="s">
        <v>47</v>
      </c>
      <c r="C27" s="27" t="s">
        <v>41</v>
      </c>
      <c r="D27" s="28">
        <f>B5</f>
        <v>50</v>
      </c>
      <c r="E27" s="28">
        <f>B6</f>
        <v>40</v>
      </c>
      <c r="F27" s="28">
        <f>B7</f>
        <v>15</v>
      </c>
      <c r="G27" s="29">
        <v>0</v>
      </c>
      <c r="H27" s="28">
        <f t="shared" si="0"/>
        <v>105</v>
      </c>
      <c r="I27" s="30"/>
    </row>
    <row r="28" spans="1:9" ht="13.5" customHeight="1" x14ac:dyDescent="0.35">
      <c r="A28" s="31">
        <v>46196</v>
      </c>
      <c r="B28" s="32" t="s">
        <v>40</v>
      </c>
      <c r="C28" s="32" t="s">
        <v>19</v>
      </c>
      <c r="D28" s="33">
        <f>B8</f>
        <v>58</v>
      </c>
      <c r="E28" s="33">
        <f>B9</f>
        <v>22</v>
      </c>
      <c r="F28" s="33">
        <f>B10</f>
        <v>25</v>
      </c>
      <c r="G28" s="34">
        <f>B11</f>
        <v>240</v>
      </c>
      <c r="H28" s="33">
        <f t="shared" si="0"/>
        <v>345</v>
      </c>
      <c r="I28" s="39" t="s">
        <v>71</v>
      </c>
    </row>
    <row r="29" spans="1:9" ht="13.5" customHeight="1" x14ac:dyDescent="0.35">
      <c r="A29" s="26">
        <v>46197</v>
      </c>
      <c r="B29" s="27" t="s">
        <v>42</v>
      </c>
      <c r="C29" s="27" t="s">
        <v>19</v>
      </c>
      <c r="D29" s="28">
        <f>B8</f>
        <v>58</v>
      </c>
      <c r="E29" s="28">
        <f>B9</f>
        <v>22</v>
      </c>
      <c r="F29" s="28">
        <f>B10</f>
        <v>25</v>
      </c>
      <c r="G29" s="29">
        <v>0</v>
      </c>
      <c r="H29" s="28">
        <f t="shared" si="0"/>
        <v>105</v>
      </c>
      <c r="I29" s="30"/>
    </row>
    <row r="30" spans="1:9" ht="13.5" customHeight="1" x14ac:dyDescent="0.35">
      <c r="A30" s="31">
        <v>46198</v>
      </c>
      <c r="B30" s="32" t="s">
        <v>43</v>
      </c>
      <c r="C30" s="32" t="s">
        <v>19</v>
      </c>
      <c r="D30" s="33">
        <f>B8</f>
        <v>58</v>
      </c>
      <c r="E30" s="33">
        <f>B9</f>
        <v>22</v>
      </c>
      <c r="F30" s="33">
        <f>B10</f>
        <v>25</v>
      </c>
      <c r="G30" s="34">
        <v>0</v>
      </c>
      <c r="H30" s="33">
        <f t="shared" si="0"/>
        <v>105</v>
      </c>
      <c r="I30" s="35"/>
    </row>
    <row r="31" spans="1:9" ht="13.5" customHeight="1" x14ac:dyDescent="0.35">
      <c r="A31" s="26">
        <v>46199</v>
      </c>
      <c r="B31" s="27" t="s">
        <v>44</v>
      </c>
      <c r="C31" s="27" t="s">
        <v>19</v>
      </c>
      <c r="D31" s="28">
        <f>B8</f>
        <v>58</v>
      </c>
      <c r="E31" s="28">
        <f>B9</f>
        <v>22</v>
      </c>
      <c r="F31" s="28">
        <f>B10</f>
        <v>25</v>
      </c>
      <c r="G31" s="29">
        <v>0</v>
      </c>
      <c r="H31" s="28">
        <f t="shared" si="0"/>
        <v>105</v>
      </c>
      <c r="I31" s="30"/>
    </row>
    <row r="32" spans="1:9" ht="13.5" customHeight="1" x14ac:dyDescent="0.35">
      <c r="A32" s="31">
        <v>46200</v>
      </c>
      <c r="B32" s="32" t="s">
        <v>45</v>
      </c>
      <c r="C32" s="32" t="s">
        <v>19</v>
      </c>
      <c r="D32" s="33">
        <f>B8</f>
        <v>58</v>
      </c>
      <c r="E32" s="33">
        <f>B9</f>
        <v>22</v>
      </c>
      <c r="F32" s="33">
        <f>B10</f>
        <v>25</v>
      </c>
      <c r="G32" s="34">
        <v>0</v>
      </c>
      <c r="H32" s="33">
        <f t="shared" si="0"/>
        <v>105</v>
      </c>
      <c r="I32" s="35"/>
    </row>
    <row r="33" spans="1:9" ht="13.5" customHeight="1" x14ac:dyDescent="0.35">
      <c r="A33" s="26">
        <v>46201</v>
      </c>
      <c r="B33" s="27" t="s">
        <v>46</v>
      </c>
      <c r="C33" s="27" t="s">
        <v>19</v>
      </c>
      <c r="D33" s="28">
        <f>B8</f>
        <v>58</v>
      </c>
      <c r="E33" s="28">
        <f>B9</f>
        <v>22</v>
      </c>
      <c r="F33" s="28">
        <f>B10</f>
        <v>25</v>
      </c>
      <c r="G33" s="29">
        <v>0</v>
      </c>
      <c r="H33" s="28">
        <f t="shared" si="0"/>
        <v>105</v>
      </c>
      <c r="I33" s="30"/>
    </row>
    <row r="34" spans="1:9" ht="13.5" customHeight="1" x14ac:dyDescent="0.35">
      <c r="A34" s="31">
        <v>46202</v>
      </c>
      <c r="B34" s="32" t="s">
        <v>47</v>
      </c>
      <c r="C34" s="32" t="s">
        <v>19</v>
      </c>
      <c r="D34" s="33">
        <f>B8</f>
        <v>58</v>
      </c>
      <c r="E34" s="33">
        <f>B9</f>
        <v>22</v>
      </c>
      <c r="F34" s="33">
        <f>B10</f>
        <v>25</v>
      </c>
      <c r="G34" s="34">
        <v>0</v>
      </c>
      <c r="H34" s="33">
        <f t="shared" si="0"/>
        <v>105</v>
      </c>
      <c r="I34" s="35"/>
    </row>
    <row r="35" spans="1:9" ht="13.5" customHeight="1" x14ac:dyDescent="0.35">
      <c r="A35" s="26">
        <v>46203</v>
      </c>
      <c r="B35" s="27" t="s">
        <v>40</v>
      </c>
      <c r="C35" s="27" t="s">
        <v>19</v>
      </c>
      <c r="D35" s="28">
        <f>B8</f>
        <v>58</v>
      </c>
      <c r="E35" s="28">
        <f>B9</f>
        <v>22</v>
      </c>
      <c r="F35" s="28">
        <f>B10</f>
        <v>25</v>
      </c>
      <c r="G35" s="29">
        <v>0</v>
      </c>
      <c r="H35" s="28">
        <f t="shared" si="0"/>
        <v>105</v>
      </c>
      <c r="I35" s="30"/>
    </row>
    <row r="36" spans="1:9" ht="13.5" customHeight="1" x14ac:dyDescent="0.35">
      <c r="A36" s="31">
        <v>46204</v>
      </c>
      <c r="B36" s="32" t="s">
        <v>42</v>
      </c>
      <c r="C36" s="32" t="s">
        <v>19</v>
      </c>
      <c r="D36" s="33">
        <f>B8</f>
        <v>58</v>
      </c>
      <c r="E36" s="33">
        <f>B9</f>
        <v>22</v>
      </c>
      <c r="F36" s="33">
        <f>B10</f>
        <v>25</v>
      </c>
      <c r="G36" s="34">
        <v>0</v>
      </c>
      <c r="H36" s="33">
        <f t="shared" si="0"/>
        <v>105</v>
      </c>
      <c r="I36" s="35"/>
    </row>
    <row r="37" spans="1:9" ht="13.5" customHeight="1" x14ac:dyDescent="0.35">
      <c r="A37" s="26">
        <v>46205</v>
      </c>
      <c r="B37" s="27" t="s">
        <v>43</v>
      </c>
      <c r="C37" s="27" t="s">
        <v>19</v>
      </c>
      <c r="D37" s="28">
        <f>B8</f>
        <v>58</v>
      </c>
      <c r="E37" s="28">
        <f>B9</f>
        <v>22</v>
      </c>
      <c r="F37" s="28">
        <f>B10</f>
        <v>25</v>
      </c>
      <c r="G37" s="29">
        <v>0</v>
      </c>
      <c r="H37" s="28">
        <f t="shared" si="0"/>
        <v>105</v>
      </c>
      <c r="I37" s="30"/>
    </row>
    <row r="38" spans="1:9" ht="13.5" customHeight="1" x14ac:dyDescent="0.35">
      <c r="A38" s="31">
        <v>46206</v>
      </c>
      <c r="B38" s="32" t="s">
        <v>44</v>
      </c>
      <c r="C38" s="32" t="s">
        <v>19</v>
      </c>
      <c r="D38" s="33">
        <f>B8</f>
        <v>58</v>
      </c>
      <c r="E38" s="33">
        <f>B9</f>
        <v>22</v>
      </c>
      <c r="F38" s="33">
        <f>B10</f>
        <v>25</v>
      </c>
      <c r="G38" s="34">
        <v>0</v>
      </c>
      <c r="H38" s="33">
        <f t="shared" si="0"/>
        <v>105</v>
      </c>
      <c r="I38" s="35"/>
    </row>
    <row r="39" spans="1:9" ht="13.5" customHeight="1" x14ac:dyDescent="0.35">
      <c r="A39" s="26">
        <v>46207</v>
      </c>
      <c r="B39" s="27" t="s">
        <v>45</v>
      </c>
      <c r="C39" s="27" t="s">
        <v>19</v>
      </c>
      <c r="D39" s="28">
        <f>B8</f>
        <v>58</v>
      </c>
      <c r="E39" s="28">
        <f>B9</f>
        <v>22</v>
      </c>
      <c r="F39" s="28">
        <f>B10</f>
        <v>25</v>
      </c>
      <c r="G39" s="29">
        <v>0</v>
      </c>
      <c r="H39" s="28">
        <f t="shared" si="0"/>
        <v>105</v>
      </c>
      <c r="I39" s="30"/>
    </row>
    <row r="40" spans="1:9" ht="13.5" customHeight="1" x14ac:dyDescent="0.35">
      <c r="A40" s="31">
        <v>46208</v>
      </c>
      <c r="B40" s="32" t="s">
        <v>46</v>
      </c>
      <c r="C40" s="32" t="s">
        <v>19</v>
      </c>
      <c r="D40" s="33">
        <f>B8</f>
        <v>58</v>
      </c>
      <c r="E40" s="33">
        <f>B9</f>
        <v>22</v>
      </c>
      <c r="F40" s="33">
        <f>B10</f>
        <v>25</v>
      </c>
      <c r="G40" s="34">
        <v>0</v>
      </c>
      <c r="H40" s="33">
        <f t="shared" si="0"/>
        <v>105</v>
      </c>
      <c r="I40" s="35"/>
    </row>
    <row r="41" spans="1:9" ht="13.5" customHeight="1" x14ac:dyDescent="0.35">
      <c r="A41" s="26">
        <v>46209</v>
      </c>
      <c r="B41" s="27" t="s">
        <v>47</v>
      </c>
      <c r="C41" s="27" t="s">
        <v>19</v>
      </c>
      <c r="D41" s="28">
        <f>B8</f>
        <v>58</v>
      </c>
      <c r="E41" s="28">
        <f>B9</f>
        <v>22</v>
      </c>
      <c r="F41" s="28">
        <f>B10</f>
        <v>25</v>
      </c>
      <c r="G41" s="29">
        <v>0</v>
      </c>
      <c r="H41" s="28">
        <f t="shared" si="0"/>
        <v>105</v>
      </c>
      <c r="I41" s="30"/>
    </row>
    <row r="42" spans="1:9" ht="13.5" customHeight="1" x14ac:dyDescent="0.35">
      <c r="A42" s="31">
        <v>46210</v>
      </c>
      <c r="B42" s="32" t="s">
        <v>40</v>
      </c>
      <c r="C42" s="32" t="s">
        <v>19</v>
      </c>
      <c r="D42" s="33">
        <f>B8</f>
        <v>58</v>
      </c>
      <c r="E42" s="33">
        <f>B9</f>
        <v>22</v>
      </c>
      <c r="F42" s="33">
        <f>B10</f>
        <v>25</v>
      </c>
      <c r="G42" s="34">
        <v>0</v>
      </c>
      <c r="H42" s="33">
        <f t="shared" si="0"/>
        <v>105</v>
      </c>
      <c r="I42" s="35"/>
    </row>
    <row r="43" spans="1:9" ht="13.5" customHeight="1" x14ac:dyDescent="0.35">
      <c r="A43" s="26">
        <v>46211</v>
      </c>
      <c r="B43" s="27" t="s">
        <v>42</v>
      </c>
      <c r="C43" s="27" t="s">
        <v>19</v>
      </c>
      <c r="D43" s="28">
        <f>B8</f>
        <v>58</v>
      </c>
      <c r="E43" s="28">
        <f>B9</f>
        <v>22</v>
      </c>
      <c r="F43" s="28">
        <f>B10</f>
        <v>25</v>
      </c>
      <c r="G43" s="29">
        <v>0</v>
      </c>
      <c r="H43" s="28">
        <f t="shared" si="0"/>
        <v>105</v>
      </c>
      <c r="I43" s="30"/>
    </row>
    <row r="44" spans="1:9" ht="13.5" customHeight="1" x14ac:dyDescent="0.35">
      <c r="A44" s="31">
        <v>46212</v>
      </c>
      <c r="B44" s="32" t="s">
        <v>43</v>
      </c>
      <c r="C44" s="32" t="s">
        <v>19</v>
      </c>
      <c r="D44" s="33">
        <f>B8</f>
        <v>58</v>
      </c>
      <c r="E44" s="33">
        <f>B9</f>
        <v>22</v>
      </c>
      <c r="F44" s="33">
        <f>B10</f>
        <v>25</v>
      </c>
      <c r="G44" s="34">
        <v>0</v>
      </c>
      <c r="H44" s="33">
        <f t="shared" si="0"/>
        <v>105</v>
      </c>
      <c r="I44" s="35"/>
    </row>
    <row r="45" spans="1:9" ht="13.5" customHeight="1" x14ac:dyDescent="0.35">
      <c r="A45" s="26">
        <v>46213</v>
      </c>
      <c r="B45" s="27" t="s">
        <v>44</v>
      </c>
      <c r="C45" s="27" t="s">
        <v>19</v>
      </c>
      <c r="D45" s="28">
        <f>B8</f>
        <v>58</v>
      </c>
      <c r="E45" s="28">
        <f>B9</f>
        <v>22</v>
      </c>
      <c r="F45" s="28">
        <f>B10</f>
        <v>25</v>
      </c>
      <c r="G45" s="29">
        <v>0</v>
      </c>
      <c r="H45" s="28">
        <f t="shared" si="0"/>
        <v>105</v>
      </c>
      <c r="I45" s="30"/>
    </row>
    <row r="46" spans="1:9" ht="13.5" customHeight="1" x14ac:dyDescent="0.35">
      <c r="A46" s="31">
        <v>46214</v>
      </c>
      <c r="B46" s="32" t="s">
        <v>45</v>
      </c>
      <c r="C46" s="32" t="s">
        <v>19</v>
      </c>
      <c r="D46" s="33">
        <f>B8</f>
        <v>58</v>
      </c>
      <c r="E46" s="33">
        <f>B9</f>
        <v>22</v>
      </c>
      <c r="F46" s="33">
        <f>B10</f>
        <v>25</v>
      </c>
      <c r="G46" s="34">
        <v>0</v>
      </c>
      <c r="H46" s="33">
        <f t="shared" si="0"/>
        <v>105</v>
      </c>
      <c r="I46" s="35"/>
    </row>
    <row r="47" spans="1:9" ht="13.5" customHeight="1" x14ac:dyDescent="0.35">
      <c r="A47" s="26">
        <v>46215</v>
      </c>
      <c r="B47" s="27" t="s">
        <v>46</v>
      </c>
      <c r="C47" s="27" t="s">
        <v>19</v>
      </c>
      <c r="D47" s="28">
        <f>B8</f>
        <v>58</v>
      </c>
      <c r="E47" s="28">
        <f>B9</f>
        <v>22</v>
      </c>
      <c r="F47" s="28">
        <f>B10</f>
        <v>25</v>
      </c>
      <c r="G47" s="29">
        <v>0</v>
      </c>
      <c r="H47" s="28">
        <f t="shared" si="0"/>
        <v>105</v>
      </c>
      <c r="I47" s="30"/>
    </row>
    <row r="48" spans="1:9" ht="15.75" customHeight="1" x14ac:dyDescent="0.35">
      <c r="A48" s="3" t="s">
        <v>48</v>
      </c>
      <c r="B48" s="3"/>
      <c r="C48" s="3"/>
      <c r="D48" s="36">
        <f>SUM(D14:D27)</f>
        <v>700</v>
      </c>
      <c r="E48" s="36">
        <f>SUM(E14:E27)</f>
        <v>560</v>
      </c>
      <c r="F48" s="36">
        <f>SUM(F14:F27)</f>
        <v>210</v>
      </c>
      <c r="G48" s="36">
        <f>SUM(G14:G27)</f>
        <v>0</v>
      </c>
      <c r="H48" s="36">
        <f>SUM(H14:H27)</f>
        <v>1470</v>
      </c>
    </row>
    <row r="49" spans="1:9" ht="15.75" customHeight="1" x14ac:dyDescent="0.35">
      <c r="A49" s="2" t="s">
        <v>72</v>
      </c>
      <c r="B49" s="2"/>
      <c r="C49" s="2"/>
      <c r="D49" s="37">
        <f>SUM(D28:D47)</f>
        <v>1160</v>
      </c>
      <c r="E49" s="37">
        <f>SUM(E28:E47)</f>
        <v>440</v>
      </c>
      <c r="F49" s="37">
        <f>SUM(F28:F47)</f>
        <v>500</v>
      </c>
      <c r="G49" s="37">
        <f>SUM(G28:G47)</f>
        <v>240</v>
      </c>
      <c r="H49" s="37">
        <f>SUM(H28:H47)</f>
        <v>2340</v>
      </c>
    </row>
    <row r="50" spans="1:9" ht="19.5" customHeight="1" x14ac:dyDescent="0.35">
      <c r="A50" s="1" t="s">
        <v>14</v>
      </c>
      <c r="B50" s="1"/>
      <c r="C50" s="1"/>
      <c r="D50" s="38">
        <f>D48+D49</f>
        <v>1860</v>
      </c>
      <c r="E50" s="38">
        <f>E48+E49</f>
        <v>1000</v>
      </c>
      <c r="F50" s="38">
        <f>F48+F49</f>
        <v>710</v>
      </c>
      <c r="G50" s="38">
        <f>G48+G49</f>
        <v>240</v>
      </c>
      <c r="H50" s="38">
        <f>H48+H49</f>
        <v>3810</v>
      </c>
    </row>
    <row r="52" spans="1:9" x14ac:dyDescent="0.35">
      <c r="A52" s="6" t="s">
        <v>50</v>
      </c>
      <c r="B52" s="6"/>
      <c r="C52" s="6"/>
      <c r="D52" s="6"/>
      <c r="E52" s="6"/>
      <c r="F52" s="6"/>
      <c r="G52" s="6"/>
      <c r="H52" s="6"/>
      <c r="I52" s="6"/>
    </row>
  </sheetData>
  <mergeCells count="7">
    <mergeCell ref="A50:C50"/>
    <mergeCell ref="A52:I52"/>
    <mergeCell ref="A1:I1"/>
    <mergeCell ref="A2:I2"/>
    <mergeCell ref="A4:I4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Dolomitas</vt:lpstr>
      <vt:lpstr>Roma-Toscana</vt:lpstr>
      <vt:lpstr>Croatia</vt:lpstr>
      <vt:lpstr>Portugal</vt:lpstr>
      <vt:lpstr>Polonia-Cracovia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Celso Miziara</cp:lastModifiedBy>
  <cp:revision>0</cp:revision>
  <dcterms:created xsi:type="dcterms:W3CDTF">2026-06-08T09:21:31Z</dcterms:created>
  <dcterms:modified xsi:type="dcterms:W3CDTF">2026-06-08T09:23:17Z</dcterms:modified>
  <dc:language>en-US</dc:language>
</cp:coreProperties>
</file>